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西财\金融科技实验室\股市机器学习综述\股市机器学习综述\文献综述\"/>
    </mc:Choice>
  </mc:AlternateContent>
  <xr:revisionPtr revIDLastSave="0" documentId="13_ncr:1_{70E2D548-1F75-46C0-A238-E3A533339FD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主页面" sheetId="1" r:id="rId1"/>
    <sheet name="子页面1按市场因子" sheetId="2" r:id="rId2"/>
    <sheet name="子页面2按mode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D22" i="1"/>
  <c r="B22" i="1"/>
  <c r="E21" i="1"/>
  <c r="E20" i="1"/>
  <c r="E19" i="1"/>
  <c r="E18" i="1"/>
  <c r="E17" i="1"/>
  <c r="E16" i="1"/>
  <c r="E15" i="1"/>
  <c r="E14" i="1"/>
  <c r="E13" i="1"/>
  <c r="E12" i="1"/>
  <c r="E22" i="1" s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<sst xmlns="http://schemas.openxmlformats.org/spreadsheetml/2006/main" count="14" uniqueCount="12">
  <si>
    <t>年份</t>
    <phoneticPr fontId="1" type="noConversion"/>
  </si>
  <si>
    <t>Finance</t>
    <phoneticPr fontId="1" type="noConversion"/>
  </si>
  <si>
    <t>ML</t>
    <phoneticPr fontId="1" type="noConversion"/>
  </si>
  <si>
    <t>deep</t>
    <phoneticPr fontId="1" type="noConversion"/>
  </si>
  <si>
    <t>Computer Science</t>
    <phoneticPr fontId="1" type="noConversion"/>
  </si>
  <si>
    <t>all</t>
    <phoneticPr fontId="1" type="noConversion"/>
  </si>
  <si>
    <t>Econometric models</t>
    <phoneticPr fontId="1" type="noConversion"/>
  </si>
  <si>
    <t>Deep learining-based models</t>
    <phoneticPr fontId="1" type="noConversion"/>
  </si>
  <si>
    <t>Macro- and microeconomic indicators</t>
  </si>
  <si>
    <t>Media information</t>
  </si>
  <si>
    <t>Statuses of relevant firms</t>
  </si>
  <si>
    <t>Machine learning-based models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</si>
</sst>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主页面!$B$1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主页面!$A$2:$A$21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主页面!$B$2:$B$21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4</c:v>
                </c:pt>
                <c:pt idx="9">
                  <c:v>16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18</c:v>
                </c:pt>
                <c:pt idx="14">
                  <c:v>19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C-475A-BD0A-CAC6DE426913}"/>
            </c:ext>
          </c:extLst>
        </c:ser>
        <c:ser>
          <c:idx val="1"/>
          <c:order val="1"/>
          <c:tx>
            <c:strRef>
              <c:f>主页面!$E$1</c:f>
              <c:strCache>
                <c:ptCount val="1"/>
                <c:pt idx="0">
                  <c:v>Computer Science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主页面!$A$2:$A$21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主页面!$E$2:$E$21</c:f>
              <c:numCache>
                <c:formatCode>General</c:formatCode>
                <c:ptCount val="20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17</c:v>
                </c:pt>
                <c:pt idx="8">
                  <c:v>11</c:v>
                </c:pt>
                <c:pt idx="9">
                  <c:v>17</c:v>
                </c:pt>
                <c:pt idx="10">
                  <c:v>15</c:v>
                </c:pt>
                <c:pt idx="11">
                  <c:v>22</c:v>
                </c:pt>
                <c:pt idx="12">
                  <c:v>15</c:v>
                </c:pt>
                <c:pt idx="13">
                  <c:v>23</c:v>
                </c:pt>
                <c:pt idx="14">
                  <c:v>21</c:v>
                </c:pt>
                <c:pt idx="15">
                  <c:v>20</c:v>
                </c:pt>
                <c:pt idx="16">
                  <c:v>33</c:v>
                </c:pt>
                <c:pt idx="17">
                  <c:v>51</c:v>
                </c:pt>
                <c:pt idx="18">
                  <c:v>46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C-475A-BD0A-CAC6DE426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7786383"/>
        <c:axId val="177786863"/>
      </c:barChart>
      <c:catAx>
        <c:axId val="1777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86863"/>
        <c:crosses val="autoZero"/>
        <c:auto val="1"/>
        <c:lblAlgn val="ctr"/>
        <c:lblOffset val="100"/>
        <c:noMultiLvlLbl val="0"/>
      </c:catAx>
      <c:valAx>
        <c:axId val="1777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8638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r"/>
      <c:layout>
        <c:manualLayout>
          <c:xMode val="edge"/>
          <c:yMode val="edge"/>
          <c:x val="5.7934914097659884E-2"/>
          <c:y val="4.7031364625283227E-2"/>
          <c:w val="0.22672365999423949"/>
          <c:h val="0.13337811613673684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子页面1按市场因子!$B$1</c:f>
              <c:strCache>
                <c:ptCount val="1"/>
                <c:pt idx="0">
                  <c:v>Macro- and microeconomic indicators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子页面1按市场因子!$A$2:$A$21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子页面1按市场因子!$B$2:$B$21</c:f>
              <c:numCache>
                <c:formatCode>General</c:formatCode>
                <c:ptCount val="20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11</c:v>
                </c:pt>
                <c:pt idx="11">
                  <c:v>9</c:v>
                </c:pt>
                <c:pt idx="12">
                  <c:v>8</c:v>
                </c:pt>
                <c:pt idx="13">
                  <c:v>23</c:v>
                </c:pt>
                <c:pt idx="14">
                  <c:v>31</c:v>
                </c:pt>
                <c:pt idx="15">
                  <c:v>36</c:v>
                </c:pt>
                <c:pt idx="16">
                  <c:v>38</c:v>
                </c:pt>
                <c:pt idx="17">
                  <c:v>46</c:v>
                </c:pt>
                <c:pt idx="18">
                  <c:v>33</c:v>
                </c:pt>
                <c:pt idx="1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B-480A-B9BE-78DBAAFDC00C}"/>
            </c:ext>
          </c:extLst>
        </c:ser>
        <c:ser>
          <c:idx val="1"/>
          <c:order val="1"/>
          <c:tx>
            <c:strRef>
              <c:f>子页面1按市场因子!$C$1</c:f>
              <c:strCache>
                <c:ptCount val="1"/>
                <c:pt idx="0">
                  <c:v>Media information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子页面1按市场因子!$A$2:$A$21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子页面1按市场因子!$C$2:$C$21</c:f>
              <c:numCache>
                <c:formatCode>General</c:formatCode>
                <c:ptCount val="20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31</c:v>
                </c:pt>
                <c:pt idx="8">
                  <c:v>12</c:v>
                </c:pt>
                <c:pt idx="9">
                  <c:v>26</c:v>
                </c:pt>
                <c:pt idx="10">
                  <c:v>21</c:v>
                </c:pt>
                <c:pt idx="11">
                  <c:v>40</c:v>
                </c:pt>
                <c:pt idx="12">
                  <c:v>33</c:v>
                </c:pt>
                <c:pt idx="13">
                  <c:v>18</c:v>
                </c:pt>
                <c:pt idx="14">
                  <c:v>9</c:v>
                </c:pt>
                <c:pt idx="15">
                  <c:v>9</c:v>
                </c:pt>
                <c:pt idx="16">
                  <c:v>20</c:v>
                </c:pt>
                <c:pt idx="17">
                  <c:v>26</c:v>
                </c:pt>
                <c:pt idx="18">
                  <c:v>33</c:v>
                </c:pt>
                <c:pt idx="1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B-480A-B9BE-78DBAAFDC00C}"/>
            </c:ext>
          </c:extLst>
        </c:ser>
        <c:ser>
          <c:idx val="2"/>
          <c:order val="2"/>
          <c:tx>
            <c:strRef>
              <c:f>子页面1按市场因子!$D$1</c:f>
              <c:strCache>
                <c:ptCount val="1"/>
                <c:pt idx="0">
                  <c:v>Statuses of relevant firms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子页面1按市场因子!$A$2:$A$21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子页面1按市场因子!$D$2:$D$21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4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3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B-480A-B9BE-78DBAAFDC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25441999"/>
        <c:axId val="177796463"/>
      </c:barChart>
      <c:catAx>
        <c:axId val="3254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96463"/>
        <c:crosses val="autoZero"/>
        <c:auto val="1"/>
        <c:lblAlgn val="ctr"/>
        <c:lblOffset val="100"/>
        <c:noMultiLvlLbl val="0"/>
      </c:catAx>
      <c:valAx>
        <c:axId val="1777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25441999"/>
        <c:crosses val="autoZero"/>
        <c:crossBetween val="between"/>
      </c:valAx>
      <c:spPr>
        <a:noFill/>
        <a:ln>
          <a:solidFill>
            <a:sysClr val="windowText" lastClr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6.0058699756962819E-2"/>
          <c:y val="4.0530302002486099E-2"/>
          <c:w val="0.45523957723344438"/>
          <c:h val="0.1604611510308625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子页面2按model!$B$1</c:f>
              <c:strCache>
                <c:ptCount val="1"/>
                <c:pt idx="0">
                  <c:v>Econometric models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子页面2按model!$A$2:$A$21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子页面2按model!$B$2:$B$21</c:f>
              <c:numCache>
                <c:formatCode>General</c:formatCode>
                <c:ptCount val="20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4</c:v>
                </c:pt>
                <c:pt idx="9">
                  <c:v>16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18</c:v>
                </c:pt>
                <c:pt idx="14">
                  <c:v>19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4128-867A-6CEA7B285A05}"/>
            </c:ext>
          </c:extLst>
        </c:ser>
        <c:ser>
          <c:idx val="1"/>
          <c:order val="1"/>
          <c:tx>
            <c:strRef>
              <c:f>子页面2按model!$C$1</c:f>
              <c:strCache>
                <c:ptCount val="1"/>
                <c:pt idx="0">
                  <c:v>Machine learning-based models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子页面2按model!$A$2:$A$21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子页面2按model!$C$2:$C$21</c:f>
              <c:numCache>
                <c:formatCode>General</c:formatCode>
                <c:ptCount val="20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16</c:v>
                </c:pt>
                <c:pt idx="8">
                  <c:v>11</c:v>
                </c:pt>
                <c:pt idx="9">
                  <c:v>16</c:v>
                </c:pt>
                <c:pt idx="10">
                  <c:v>14</c:v>
                </c:pt>
                <c:pt idx="11">
                  <c:v>18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11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7-4128-867A-6CEA7B285A05}"/>
            </c:ext>
          </c:extLst>
        </c:ser>
        <c:ser>
          <c:idx val="2"/>
          <c:order val="2"/>
          <c:tx>
            <c:strRef>
              <c:f>子页面2按model!$D$1</c:f>
              <c:strCache>
                <c:ptCount val="1"/>
                <c:pt idx="0">
                  <c:v>Deep learining-based models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子页面2按model!$A$2:$A$21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子页面2按model!$D$2:$D$21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10</c:v>
                </c:pt>
                <c:pt idx="14">
                  <c:v>8</c:v>
                </c:pt>
                <c:pt idx="15">
                  <c:v>9</c:v>
                </c:pt>
                <c:pt idx="16">
                  <c:v>23</c:v>
                </c:pt>
                <c:pt idx="17">
                  <c:v>43</c:v>
                </c:pt>
                <c:pt idx="18">
                  <c:v>40</c:v>
                </c:pt>
                <c:pt idx="1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7-4128-867A-6CEA7B285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25441999"/>
        <c:axId val="177796463"/>
      </c:barChart>
      <c:catAx>
        <c:axId val="3254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96463"/>
        <c:crosses val="autoZero"/>
        <c:auto val="1"/>
        <c:lblAlgn val="ctr"/>
        <c:lblOffset val="100"/>
        <c:noMultiLvlLbl val="0"/>
      </c:catAx>
      <c:valAx>
        <c:axId val="1777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25441999"/>
        <c:crosses val="autoZero"/>
        <c:crossBetween val="between"/>
      </c:valAx>
      <c:spPr>
        <a:noFill/>
        <a:ln>
          <a:solidFill>
            <a:sysClr val="windowText" lastClr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6.0179826693519151E-2"/>
          <c:y val="4.3916316778733019E-2"/>
          <c:w val="0.37629613339814966"/>
          <c:h val="0.138797190738244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子页面2按model!$B$1</c:f>
              <c:strCache>
                <c:ptCount val="1"/>
                <c:pt idx="0">
                  <c:v>Econometric models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子页面1按市场因子!$A$2:$A$21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子页面2按model!$B$2:$B$21</c:f>
              <c:numCache>
                <c:formatCode>General</c:formatCode>
                <c:ptCount val="20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4</c:v>
                </c:pt>
                <c:pt idx="9">
                  <c:v>16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18</c:v>
                </c:pt>
                <c:pt idx="14">
                  <c:v>19</c:v>
                </c:pt>
                <c:pt idx="15">
                  <c:v>25</c:v>
                </c:pt>
                <c:pt idx="16">
                  <c:v>25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0-45E2-86CF-0B431896B7EF}"/>
            </c:ext>
          </c:extLst>
        </c:ser>
        <c:ser>
          <c:idx val="1"/>
          <c:order val="1"/>
          <c:tx>
            <c:strRef>
              <c:f>子页面2按model!$C$1</c:f>
              <c:strCache>
                <c:ptCount val="1"/>
                <c:pt idx="0">
                  <c:v>Machine learning-based models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子页面1按市场因子!$A$2:$A$21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子页面2按model!$C$2:$C$21</c:f>
              <c:numCache>
                <c:formatCode>General</c:formatCode>
                <c:ptCount val="20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16</c:v>
                </c:pt>
                <c:pt idx="8">
                  <c:v>11</c:v>
                </c:pt>
                <c:pt idx="9">
                  <c:v>16</c:v>
                </c:pt>
                <c:pt idx="10">
                  <c:v>14</c:v>
                </c:pt>
                <c:pt idx="11">
                  <c:v>18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11</c:v>
                </c:pt>
                <c:pt idx="16">
                  <c:v>10</c:v>
                </c:pt>
                <c:pt idx="17">
                  <c:v>8</c:v>
                </c:pt>
                <c:pt idx="18">
                  <c:v>6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0-45E2-86CF-0B431896B7EF}"/>
            </c:ext>
          </c:extLst>
        </c:ser>
        <c:ser>
          <c:idx val="2"/>
          <c:order val="2"/>
          <c:tx>
            <c:strRef>
              <c:f>子页面2按model!$D$1</c:f>
              <c:strCache>
                <c:ptCount val="1"/>
                <c:pt idx="0">
                  <c:v>Deep learining-based models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子页面1按市场因子!$A$2:$A$21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子页面2按model!$D$2:$D$21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10</c:v>
                </c:pt>
                <c:pt idx="14">
                  <c:v>8</c:v>
                </c:pt>
                <c:pt idx="15">
                  <c:v>9</c:v>
                </c:pt>
                <c:pt idx="16">
                  <c:v>23</c:v>
                </c:pt>
                <c:pt idx="17">
                  <c:v>43</c:v>
                </c:pt>
                <c:pt idx="18">
                  <c:v>40</c:v>
                </c:pt>
                <c:pt idx="1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0-45E2-86CF-0B431896B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25441999"/>
        <c:axId val="177796463"/>
      </c:barChart>
      <c:catAx>
        <c:axId val="3254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7796463"/>
        <c:crosses val="autoZero"/>
        <c:auto val="1"/>
        <c:lblAlgn val="ctr"/>
        <c:lblOffset val="100"/>
        <c:noMultiLvlLbl val="0"/>
      </c:catAx>
      <c:valAx>
        <c:axId val="1777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25441999"/>
        <c:crosses val="autoZero"/>
        <c:crossBetween val="between"/>
      </c:valAx>
      <c:spPr>
        <a:noFill/>
        <a:ln>
          <a:solidFill>
            <a:sysClr val="windowText" lastClr="00000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6.0058699756962819E-2"/>
          <c:y val="4.0530302002486099E-2"/>
          <c:w val="0.38568861903012791"/>
          <c:h val="0.1681191090159360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321616</xdr:colOff>
      <xdr:row>3</xdr:row>
      <xdr:rowOff>92428</xdr:rowOff>
    </xdr:from>
    <xdr:to>
      <xdr:col>17</xdr:col>
      <xdr:colOff>217549</xdr:colOff>
      <xdr:row>20</xdr:row>
      <xdr:rowOff>117593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197B48-62B4-1485-B61F-9E7AAF195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300430</xdr:colOff>
      <xdr:row>7</xdr:row>
      <xdr:rowOff>116076</xdr:rowOff>
    </xdr:from>
    <xdr:ext cx="184731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B07D06A-F4BA-64AE-A45B-EBAA6990BA63}"/>
            </a:ext>
          </a:extLst>
        </xdr:cNvPr>
        <xdr:cNvSpPr txBox="1"/>
      </xdr:nvSpPr>
      <xdr:spPr>
        <a:xfrm>
          <a:off x="4506452" y="10037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577137</xdr:colOff>
      <xdr:row>11</xdr:row>
      <xdr:rowOff>41988</xdr:rowOff>
    </xdr:from>
    <xdr:to>
      <xdr:col>15</xdr:col>
      <xdr:colOff>516356</xdr:colOff>
      <xdr:row>30</xdr:row>
      <xdr:rowOff>25065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8AF7A06-8E41-4301-A448-BE53493B5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361802</xdr:colOff>
      <xdr:row>30</xdr:row>
      <xdr:rowOff>121092</xdr:rowOff>
    </xdr:from>
    <xdr:ext cx="5211683" cy="1878719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A99957B-218F-4D96-A458-BBC90F5087CC}"/>
            </a:ext>
          </a:extLst>
        </xdr:cNvPr>
        <xdr:cNvSpPr txBox="1"/>
      </xdr:nvSpPr>
      <xdr:spPr>
        <a:xfrm>
          <a:off x="973174" y="5082952"/>
          <a:ext cx="5211683" cy="187871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图中所有字：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1.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times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字体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2.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用黑色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3. 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大小根据情况调整，把图放进正文，字不要比正文小太多即可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图片不要用彩色，用左斜线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空白</a:t>
          </a:r>
          <a:r>
            <a:rPr lang="en-US" altLang="zh-CN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+</a:t>
          </a:r>
          <a:r>
            <a:rPr lang="zh-CN" altLang="en-US" sz="1400">
              <a:solidFill>
                <a:srgbClr val="FF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右斜线</a:t>
          </a:r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en-US" altLang="zh-CN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endParaRPr lang="zh-CN" altLang="en-US" sz="1400">
            <a:solidFill>
              <a:srgbClr val="FF0000"/>
            </a:solidFill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337643</xdr:colOff>
      <xdr:row>13</xdr:row>
      <xdr:rowOff>60209</xdr:rowOff>
    </xdr:from>
    <xdr:to>
      <xdr:col>17</xdr:col>
      <xdr:colOff>322460</xdr:colOff>
      <xdr:row>31</xdr:row>
      <xdr:rowOff>74413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DEABB9-1987-F08F-A1E9-F6D9AB671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11</xdr:col>
      <xdr:colOff>563618</xdr:colOff>
      <xdr:row>56</xdr:row>
      <xdr:rowOff>102140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4E2AA2D-B352-4E9F-BB43-97B547FC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="78" zoomScaleNormal="78" workbookViewId="0">
      <selection activeCell="H41" sqref="H41"/>
    </sheetView>
  </sheetViews>
  <sheetFormatPr defaultRowHeight="13.9" x14ac:dyDescent="0.4"/>
  <cols>
    <col min="5" max="5" width="20.464843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2004</v>
      </c>
      <c r="B2">
        <v>3</v>
      </c>
      <c r="C2">
        <v>0</v>
      </c>
      <c r="D2">
        <v>0</v>
      </c>
      <c r="E2">
        <v>0</v>
      </c>
    </row>
    <row r="3" spans="1:5" x14ac:dyDescent="0.4">
      <c r="A3">
        <v>2005</v>
      </c>
      <c r="B3">
        <v>1</v>
      </c>
      <c r="C3">
        <v>4</v>
      </c>
      <c r="D3">
        <v>0</v>
      </c>
      <c r="E3">
        <v>4</v>
      </c>
    </row>
    <row r="4" spans="1:5" x14ac:dyDescent="0.4">
      <c r="A4">
        <v>2006</v>
      </c>
      <c r="B4">
        <v>4</v>
      </c>
      <c r="C4">
        <v>1</v>
      </c>
      <c r="E4">
        <f t="shared" ref="E4:E21" si="0">SUM(C4:D4)</f>
        <v>1</v>
      </c>
    </row>
    <row r="5" spans="1:5" x14ac:dyDescent="0.4">
      <c r="A5">
        <v>2007</v>
      </c>
      <c r="B5">
        <v>9</v>
      </c>
      <c r="C5">
        <v>5</v>
      </c>
      <c r="E5">
        <f t="shared" si="0"/>
        <v>5</v>
      </c>
    </row>
    <row r="6" spans="1:5" x14ac:dyDescent="0.4">
      <c r="A6">
        <v>2008</v>
      </c>
      <c r="B6">
        <v>8</v>
      </c>
      <c r="C6">
        <v>6</v>
      </c>
      <c r="E6">
        <f t="shared" si="0"/>
        <v>6</v>
      </c>
    </row>
    <row r="7" spans="1:5" x14ac:dyDescent="0.4">
      <c r="A7">
        <v>2009</v>
      </c>
      <c r="B7">
        <v>5</v>
      </c>
      <c r="C7">
        <v>9</v>
      </c>
      <c r="E7">
        <f t="shared" si="0"/>
        <v>9</v>
      </c>
    </row>
    <row r="8" spans="1:5" x14ac:dyDescent="0.4">
      <c r="A8">
        <v>2010</v>
      </c>
      <c r="B8">
        <v>3</v>
      </c>
      <c r="C8">
        <v>11</v>
      </c>
      <c r="E8">
        <f t="shared" si="0"/>
        <v>11</v>
      </c>
    </row>
    <row r="9" spans="1:5" x14ac:dyDescent="0.4">
      <c r="A9">
        <v>2011</v>
      </c>
      <c r="B9">
        <v>21</v>
      </c>
      <c r="C9">
        <v>16</v>
      </c>
      <c r="D9">
        <v>1</v>
      </c>
      <c r="E9">
        <f t="shared" si="0"/>
        <v>17</v>
      </c>
    </row>
    <row r="10" spans="1:5" x14ac:dyDescent="0.4">
      <c r="A10">
        <v>2012</v>
      </c>
      <c r="B10">
        <v>4</v>
      </c>
      <c r="C10">
        <v>11</v>
      </c>
      <c r="D10">
        <v>0</v>
      </c>
      <c r="E10">
        <f t="shared" si="0"/>
        <v>11</v>
      </c>
    </row>
    <row r="11" spans="1:5" x14ac:dyDescent="0.4">
      <c r="A11">
        <v>2013</v>
      </c>
      <c r="B11">
        <v>16</v>
      </c>
      <c r="C11">
        <v>16</v>
      </c>
      <c r="D11">
        <v>1</v>
      </c>
      <c r="E11">
        <f t="shared" si="0"/>
        <v>17</v>
      </c>
    </row>
    <row r="12" spans="1:5" x14ac:dyDescent="0.4">
      <c r="A12">
        <v>2014</v>
      </c>
      <c r="B12">
        <v>17</v>
      </c>
      <c r="C12">
        <v>14</v>
      </c>
      <c r="D12">
        <v>1</v>
      </c>
      <c r="E12">
        <f t="shared" si="0"/>
        <v>15</v>
      </c>
    </row>
    <row r="13" spans="1:5" x14ac:dyDescent="0.4">
      <c r="A13">
        <v>2015</v>
      </c>
      <c r="B13">
        <v>28</v>
      </c>
      <c r="C13">
        <v>18</v>
      </c>
      <c r="D13">
        <v>4</v>
      </c>
      <c r="E13">
        <f t="shared" si="0"/>
        <v>22</v>
      </c>
    </row>
    <row r="14" spans="1:5" x14ac:dyDescent="0.4">
      <c r="A14">
        <v>2016</v>
      </c>
      <c r="B14">
        <v>25</v>
      </c>
      <c r="C14">
        <v>13</v>
      </c>
      <c r="D14">
        <v>2</v>
      </c>
      <c r="E14">
        <f t="shared" si="0"/>
        <v>15</v>
      </c>
    </row>
    <row r="15" spans="1:5" x14ac:dyDescent="0.4">
      <c r="A15">
        <v>2017</v>
      </c>
      <c r="B15">
        <v>18</v>
      </c>
      <c r="C15">
        <v>13</v>
      </c>
      <c r="D15">
        <v>10</v>
      </c>
      <c r="E15">
        <f t="shared" si="0"/>
        <v>23</v>
      </c>
    </row>
    <row r="16" spans="1:5" x14ac:dyDescent="0.4">
      <c r="A16">
        <v>2018</v>
      </c>
      <c r="B16">
        <v>19</v>
      </c>
      <c r="C16">
        <v>13</v>
      </c>
      <c r="D16">
        <v>8</v>
      </c>
      <c r="E16">
        <f t="shared" si="0"/>
        <v>21</v>
      </c>
    </row>
    <row r="17" spans="1:5" x14ac:dyDescent="0.4">
      <c r="A17">
        <v>2019</v>
      </c>
      <c r="B17">
        <v>25</v>
      </c>
      <c r="C17">
        <v>11</v>
      </c>
      <c r="D17">
        <v>9</v>
      </c>
      <c r="E17">
        <f t="shared" si="0"/>
        <v>20</v>
      </c>
    </row>
    <row r="18" spans="1:5" x14ac:dyDescent="0.4">
      <c r="A18">
        <v>2020</v>
      </c>
      <c r="B18">
        <v>25</v>
      </c>
      <c r="C18">
        <v>10</v>
      </c>
      <c r="D18">
        <v>23</v>
      </c>
      <c r="E18">
        <f t="shared" si="0"/>
        <v>33</v>
      </c>
    </row>
    <row r="19" spans="1:5" x14ac:dyDescent="0.4">
      <c r="A19">
        <v>2021</v>
      </c>
      <c r="B19">
        <v>21</v>
      </c>
      <c r="C19">
        <v>8</v>
      </c>
      <c r="D19">
        <v>43</v>
      </c>
      <c r="E19">
        <f t="shared" si="0"/>
        <v>51</v>
      </c>
    </row>
    <row r="20" spans="1:5" x14ac:dyDescent="0.4">
      <c r="A20">
        <v>2022</v>
      </c>
      <c r="B20">
        <v>20</v>
      </c>
      <c r="C20">
        <v>6</v>
      </c>
      <c r="D20">
        <v>40</v>
      </c>
      <c r="E20">
        <f t="shared" si="0"/>
        <v>46</v>
      </c>
    </row>
    <row r="21" spans="1:5" x14ac:dyDescent="0.4">
      <c r="A21">
        <v>2023</v>
      </c>
      <c r="B21">
        <v>20</v>
      </c>
      <c r="C21">
        <v>9</v>
      </c>
      <c r="D21">
        <v>13</v>
      </c>
      <c r="E21">
        <f t="shared" si="0"/>
        <v>22</v>
      </c>
    </row>
    <row r="22" spans="1:5" x14ac:dyDescent="0.4">
      <c r="A22" t="s">
        <v>5</v>
      </c>
      <c r="B22">
        <f>SUM(B2:B21)</f>
        <v>292</v>
      </c>
      <c r="C22">
        <f t="shared" ref="C22:E22" si="1">SUM(C2:C21)</f>
        <v>194</v>
      </c>
      <c r="D22">
        <f t="shared" si="1"/>
        <v>155</v>
      </c>
      <c r="E22">
        <f t="shared" si="1"/>
        <v>349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FCF2-248D-4AE1-B672-6B2DAC18B64E}">
  <dimension ref="A1:D21"/>
  <sheetViews>
    <sheetView zoomScale="95" zoomScaleNormal="95" workbookViewId="0">
      <selection activeCell="T19" sqref="T19"/>
    </sheetView>
  </sheetViews>
  <sheetFormatPr defaultRowHeight="13.9" x14ac:dyDescent="0.4"/>
  <cols>
    <col min="2" max="2" width="39.6640625" customWidth="1"/>
    <col min="3" max="3" width="16.46484375" customWidth="1"/>
    <col min="4" max="4" width="22.46484375" customWidth="1"/>
  </cols>
  <sheetData>
    <row r="1" spans="1:4" x14ac:dyDescent="0.4">
      <c r="A1" t="s">
        <v>0</v>
      </c>
      <c r="B1" t="s">
        <v>8</v>
      </c>
      <c r="C1" t="s">
        <v>9</v>
      </c>
      <c r="D1" t="s">
        <v>10</v>
      </c>
    </row>
    <row r="2" spans="1:4" x14ac:dyDescent="0.4">
      <c r="A2">
        <v>2004</v>
      </c>
      <c r="B2">
        <v>1</v>
      </c>
      <c r="C2">
        <v>2</v>
      </c>
      <c r="D2">
        <v>0</v>
      </c>
    </row>
    <row r="3" spans="1:4" x14ac:dyDescent="0.4">
      <c r="A3">
        <v>2005</v>
      </c>
      <c r="B3">
        <v>4</v>
      </c>
      <c r="C3">
        <v>0</v>
      </c>
      <c r="D3">
        <v>0</v>
      </c>
    </row>
    <row r="4" spans="1:4" x14ac:dyDescent="0.4">
      <c r="A4">
        <v>2006</v>
      </c>
      <c r="B4">
        <v>3</v>
      </c>
      <c r="C4">
        <v>2</v>
      </c>
    </row>
    <row r="5" spans="1:4" x14ac:dyDescent="0.4">
      <c r="A5">
        <v>2007</v>
      </c>
      <c r="B5">
        <v>3</v>
      </c>
      <c r="C5">
        <v>11</v>
      </c>
    </row>
    <row r="6" spans="1:4" x14ac:dyDescent="0.4">
      <c r="A6">
        <v>2008</v>
      </c>
      <c r="B6">
        <v>9</v>
      </c>
      <c r="C6">
        <v>5</v>
      </c>
      <c r="D6">
        <v>1</v>
      </c>
    </row>
    <row r="7" spans="1:4" x14ac:dyDescent="0.4">
      <c r="A7">
        <v>2009</v>
      </c>
      <c r="B7">
        <v>6</v>
      </c>
      <c r="C7">
        <v>7</v>
      </c>
    </row>
    <row r="8" spans="1:4" x14ac:dyDescent="0.4">
      <c r="A8">
        <v>2010</v>
      </c>
      <c r="B8">
        <v>4</v>
      </c>
      <c r="C8">
        <v>9</v>
      </c>
    </row>
    <row r="9" spans="1:4" x14ac:dyDescent="0.4">
      <c r="A9">
        <v>2011</v>
      </c>
      <c r="B9">
        <v>6</v>
      </c>
      <c r="C9">
        <v>31</v>
      </c>
    </row>
    <row r="10" spans="1:4" x14ac:dyDescent="0.4">
      <c r="A10">
        <v>2012</v>
      </c>
      <c r="B10">
        <v>3</v>
      </c>
      <c r="C10">
        <v>12</v>
      </c>
    </row>
    <row r="11" spans="1:4" x14ac:dyDescent="0.4">
      <c r="A11">
        <v>2013</v>
      </c>
      <c r="B11">
        <v>7</v>
      </c>
      <c r="C11">
        <v>26</v>
      </c>
      <c r="D11">
        <v>1</v>
      </c>
    </row>
    <row r="12" spans="1:4" x14ac:dyDescent="0.4">
      <c r="A12">
        <v>2014</v>
      </c>
      <c r="B12">
        <v>11</v>
      </c>
      <c r="C12">
        <v>21</v>
      </c>
      <c r="D12">
        <v>1</v>
      </c>
    </row>
    <row r="13" spans="1:4" x14ac:dyDescent="0.4">
      <c r="A13">
        <v>2015</v>
      </c>
      <c r="B13">
        <v>9</v>
      </c>
      <c r="C13">
        <v>40</v>
      </c>
      <c r="D13">
        <v>1</v>
      </c>
    </row>
    <row r="14" spans="1:4" x14ac:dyDescent="0.4">
      <c r="A14">
        <v>2016</v>
      </c>
      <c r="B14">
        <v>8</v>
      </c>
      <c r="C14">
        <v>33</v>
      </c>
      <c r="D14">
        <v>1</v>
      </c>
    </row>
    <row r="15" spans="1:4" x14ac:dyDescent="0.4">
      <c r="A15">
        <v>2017</v>
      </c>
      <c r="B15">
        <v>23</v>
      </c>
      <c r="C15">
        <v>18</v>
      </c>
    </row>
    <row r="16" spans="1:4" x14ac:dyDescent="0.4">
      <c r="A16">
        <v>2018</v>
      </c>
      <c r="B16">
        <v>31</v>
      </c>
      <c r="C16">
        <v>9</v>
      </c>
      <c r="D16">
        <v>1</v>
      </c>
    </row>
    <row r="17" spans="1:4" x14ac:dyDescent="0.4">
      <c r="A17">
        <v>2019</v>
      </c>
      <c r="B17">
        <v>36</v>
      </c>
      <c r="C17">
        <v>9</v>
      </c>
      <c r="D17">
        <v>3</v>
      </c>
    </row>
    <row r="18" spans="1:4" x14ac:dyDescent="0.4">
      <c r="A18">
        <v>2020</v>
      </c>
      <c r="B18">
        <v>38</v>
      </c>
      <c r="C18">
        <v>20</v>
      </c>
    </row>
    <row r="19" spans="1:4" x14ac:dyDescent="0.4">
      <c r="A19">
        <v>2021</v>
      </c>
      <c r="B19">
        <v>46</v>
      </c>
      <c r="C19">
        <v>26</v>
      </c>
      <c r="D19">
        <v>3</v>
      </c>
    </row>
    <row r="20" spans="1:4" x14ac:dyDescent="0.4">
      <c r="A20">
        <v>2022</v>
      </c>
      <c r="B20">
        <v>33</v>
      </c>
      <c r="C20">
        <v>33</v>
      </c>
      <c r="D20">
        <v>2</v>
      </c>
    </row>
    <row r="21" spans="1:4" x14ac:dyDescent="0.4">
      <c r="A21">
        <v>2023</v>
      </c>
      <c r="B21">
        <v>24</v>
      </c>
      <c r="C21">
        <v>18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5E74-45A8-4E2B-916A-0974F9920069}">
  <dimension ref="A1:D21"/>
  <sheetViews>
    <sheetView tabSelected="1" topLeftCell="A37" zoomScale="96" zoomScaleNormal="96" workbookViewId="0">
      <selection activeCell="C49" sqref="C49"/>
    </sheetView>
  </sheetViews>
  <sheetFormatPr defaultRowHeight="13.9" x14ac:dyDescent="0.4"/>
  <cols>
    <col min="2" max="2" width="20.6640625" customWidth="1"/>
    <col min="3" max="3" width="39.1328125" customWidth="1"/>
  </cols>
  <sheetData>
    <row r="1" spans="1:4" x14ac:dyDescent="0.4">
      <c r="A1" t="s">
        <v>0</v>
      </c>
      <c r="B1" t="s">
        <v>6</v>
      </c>
      <c r="C1" t="s">
        <v>11</v>
      </c>
      <c r="D1" t="s">
        <v>7</v>
      </c>
    </row>
    <row r="2" spans="1:4" x14ac:dyDescent="0.4">
      <c r="A2">
        <v>2004</v>
      </c>
      <c r="B2">
        <v>3</v>
      </c>
      <c r="C2">
        <v>0</v>
      </c>
      <c r="D2">
        <v>0</v>
      </c>
    </row>
    <row r="3" spans="1:4" x14ac:dyDescent="0.4">
      <c r="A3">
        <v>2005</v>
      </c>
      <c r="B3">
        <v>0</v>
      </c>
      <c r="C3">
        <v>3</v>
      </c>
      <c r="D3">
        <v>0</v>
      </c>
    </row>
    <row r="4" spans="1:4" x14ac:dyDescent="0.4">
      <c r="A4" s="1">
        <v>2006</v>
      </c>
      <c r="B4">
        <v>4</v>
      </c>
      <c r="C4">
        <v>1</v>
      </c>
    </row>
    <row r="5" spans="1:4" x14ac:dyDescent="0.4">
      <c r="A5" s="1">
        <v>2007</v>
      </c>
      <c r="B5">
        <v>9</v>
      </c>
      <c r="C5">
        <v>5</v>
      </c>
    </row>
    <row r="6" spans="1:4" x14ac:dyDescent="0.4">
      <c r="A6" s="1">
        <v>2008</v>
      </c>
      <c r="B6">
        <v>8</v>
      </c>
      <c r="C6">
        <v>6</v>
      </c>
    </row>
    <row r="7" spans="1:4" x14ac:dyDescent="0.4">
      <c r="A7" s="1">
        <v>2009</v>
      </c>
      <c r="B7">
        <v>5</v>
      </c>
      <c r="C7">
        <v>9</v>
      </c>
    </row>
    <row r="8" spans="1:4" x14ac:dyDescent="0.4">
      <c r="A8" s="1">
        <v>2010</v>
      </c>
      <c r="B8">
        <v>3</v>
      </c>
      <c r="C8">
        <v>11</v>
      </c>
    </row>
    <row r="9" spans="1:4" x14ac:dyDescent="0.4">
      <c r="A9" s="1">
        <v>2011</v>
      </c>
      <c r="B9">
        <v>21</v>
      </c>
      <c r="C9">
        <v>16</v>
      </c>
      <c r="D9">
        <v>1</v>
      </c>
    </row>
    <row r="10" spans="1:4" x14ac:dyDescent="0.4">
      <c r="A10" s="1">
        <v>2012</v>
      </c>
      <c r="B10">
        <v>4</v>
      </c>
      <c r="C10">
        <v>11</v>
      </c>
      <c r="D10">
        <v>0</v>
      </c>
    </row>
    <row r="11" spans="1:4" x14ac:dyDescent="0.4">
      <c r="A11" s="1">
        <v>2013</v>
      </c>
      <c r="B11">
        <v>16</v>
      </c>
      <c r="C11">
        <v>16</v>
      </c>
      <c r="D11">
        <v>1</v>
      </c>
    </row>
    <row r="12" spans="1:4" x14ac:dyDescent="0.4">
      <c r="A12" s="1">
        <v>2014</v>
      </c>
      <c r="B12">
        <v>17</v>
      </c>
      <c r="C12">
        <v>14</v>
      </c>
      <c r="D12">
        <v>1</v>
      </c>
    </row>
    <row r="13" spans="1:4" x14ac:dyDescent="0.4">
      <c r="A13" s="1">
        <v>2015</v>
      </c>
      <c r="B13">
        <v>28</v>
      </c>
      <c r="C13">
        <v>18</v>
      </c>
      <c r="D13">
        <v>4</v>
      </c>
    </row>
    <row r="14" spans="1:4" x14ac:dyDescent="0.4">
      <c r="A14" s="1">
        <v>2016</v>
      </c>
      <c r="B14">
        <v>25</v>
      </c>
      <c r="C14">
        <v>13</v>
      </c>
      <c r="D14">
        <v>2</v>
      </c>
    </row>
    <row r="15" spans="1:4" x14ac:dyDescent="0.4">
      <c r="A15" s="1">
        <v>2017</v>
      </c>
      <c r="B15">
        <v>18</v>
      </c>
      <c r="C15">
        <v>13</v>
      </c>
      <c r="D15">
        <v>10</v>
      </c>
    </row>
    <row r="16" spans="1:4" x14ac:dyDescent="0.4">
      <c r="A16" s="1">
        <v>2018</v>
      </c>
      <c r="B16">
        <v>19</v>
      </c>
      <c r="C16">
        <v>13</v>
      </c>
      <c r="D16">
        <v>8</v>
      </c>
    </row>
    <row r="17" spans="1:4" x14ac:dyDescent="0.4">
      <c r="A17" s="1">
        <v>2019</v>
      </c>
      <c r="B17">
        <v>25</v>
      </c>
      <c r="C17">
        <v>11</v>
      </c>
      <c r="D17">
        <v>9</v>
      </c>
    </row>
    <row r="18" spans="1:4" x14ac:dyDescent="0.4">
      <c r="A18" s="1">
        <v>2020</v>
      </c>
      <c r="B18">
        <v>25</v>
      </c>
      <c r="C18">
        <v>10</v>
      </c>
      <c r="D18">
        <v>23</v>
      </c>
    </row>
    <row r="19" spans="1:4" x14ac:dyDescent="0.4">
      <c r="A19" s="1">
        <v>2021</v>
      </c>
      <c r="B19">
        <v>21</v>
      </c>
      <c r="C19">
        <v>8</v>
      </c>
      <c r="D19">
        <v>43</v>
      </c>
    </row>
    <row r="20" spans="1:4" x14ac:dyDescent="0.4">
      <c r="A20" s="1">
        <v>2022</v>
      </c>
      <c r="B20">
        <v>20</v>
      </c>
      <c r="C20">
        <v>6</v>
      </c>
      <c r="D20">
        <v>40</v>
      </c>
    </row>
    <row r="21" spans="1:4" x14ac:dyDescent="0.4">
      <c r="A21" s="1">
        <v>2023</v>
      </c>
      <c r="B21">
        <v>20</v>
      </c>
      <c r="C21">
        <v>9</v>
      </c>
      <c r="D21">
        <v>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主页面</vt:lpstr>
      <vt:lpstr>子页面1按市场因子</vt:lpstr>
      <vt:lpstr>子页面2按model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张林</dc:creator>
  <cp:lastModifiedBy>张林</cp:lastModifiedBy>
  <dcterms:created xsi:type="dcterms:W3CDTF">2015-06-05T18:19:34Z</dcterms:created>
  <dcterms:modified xsi:type="dcterms:W3CDTF">2023-07-21T02:46:56Z</dcterms:modified>
</cp:coreProperties>
</file>