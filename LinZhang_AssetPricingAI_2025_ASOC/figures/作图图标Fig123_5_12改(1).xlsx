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西财\金融科技实验室\股市机器学习综述\股市机器学习综述\投稿\ASC\"/>
    </mc:Choice>
  </mc:AlternateContent>
  <xr:revisionPtr revIDLastSave="0" documentId="13_ncr:1_{F40AAC95-3792-4DCC-9392-3DAEA988F988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Fig1ab" sheetId="1" r:id="rId1"/>
    <sheet name="Fig2tkde" sheetId="2" r:id="rId2"/>
    <sheet name="Fig3tkde" sheetId="3" r:id="rId3"/>
    <sheet name="table4" sheetId="4" r:id="rId4"/>
    <sheet name="TABLE5" sheetId="5" r:id="rId5"/>
    <sheet name="table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" l="1"/>
  <c r="B23" i="1"/>
  <c r="C256" i="6"/>
  <c r="C249" i="6"/>
  <c r="C244" i="6"/>
  <c r="C235" i="6"/>
  <c r="C227" i="6"/>
  <c r="C197" i="6"/>
  <c r="C102" i="6"/>
  <c r="C223" i="6"/>
  <c r="C34" i="6"/>
  <c r="C136" i="6"/>
  <c r="C189" i="6"/>
  <c r="C167" i="6"/>
  <c r="C177" i="6"/>
  <c r="C161" i="6"/>
  <c r="C154" i="6"/>
  <c r="C147" i="6"/>
  <c r="C121" i="6"/>
  <c r="C90" i="6"/>
  <c r="C79" i="6"/>
  <c r="C70" i="6"/>
  <c r="C60" i="6"/>
  <c r="C23" i="1"/>
  <c r="D23" i="1"/>
  <c r="C169" i="5"/>
  <c r="XFD168" i="5"/>
  <c r="C162" i="5"/>
  <c r="C156" i="5"/>
  <c r="C147" i="5"/>
  <c r="C141" i="5"/>
  <c r="C133" i="5"/>
  <c r="C126" i="5"/>
  <c r="C119" i="5"/>
  <c r="C112" i="5"/>
  <c r="C98" i="5"/>
  <c r="C87" i="5"/>
  <c r="C70" i="5"/>
  <c r="C43" i="5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<sst xmlns="http://schemas.openxmlformats.org/spreadsheetml/2006/main" count="1976" uniqueCount="740">
  <si>
    <t>年份</t>
    <phoneticPr fontId="1" type="noConversion"/>
  </si>
  <si>
    <t>Finance</t>
    <phoneticPr fontId="1" type="noConversion"/>
  </si>
  <si>
    <t>ML</t>
    <phoneticPr fontId="1" type="noConversion"/>
  </si>
  <si>
    <t>deep</t>
    <phoneticPr fontId="1" type="noConversion"/>
  </si>
  <si>
    <t>Computer Science</t>
    <phoneticPr fontId="1" type="noConversion"/>
  </si>
  <si>
    <t>all</t>
    <phoneticPr fontId="1" type="noConversion"/>
  </si>
  <si>
    <t>Econometric models</t>
    <phoneticPr fontId="1" type="noConversion"/>
  </si>
  <si>
    <t>Deep learining-based models</t>
    <phoneticPr fontId="1" type="noConversion"/>
  </si>
  <si>
    <t>Media information</t>
  </si>
  <si>
    <t>Statuses of relevant firms</t>
  </si>
  <si>
    <t>Machine learning-based models</t>
    <phoneticPr fontId="1" type="noConversion"/>
  </si>
  <si>
    <t>title</t>
  </si>
  <si>
    <t>year</t>
  </si>
  <si>
    <t>Efficient capital markets: A review of theory and empirical work</t>
  </si>
  <si>
    <t>Journal of Finance</t>
  </si>
  <si>
    <t>Common risk factors in the returns on stocks and bonds</t>
  </si>
  <si>
    <t>Capital asset prices: A theory of market equilibrium under conditions of risk</t>
  </si>
  <si>
    <t>On persistence in mutual fund performance</t>
  </si>
  <si>
    <t>Risk, return, and equilibrium: Empirical tests</t>
  </si>
  <si>
    <t>Journal of Political Economy</t>
  </si>
  <si>
    <t>The behavior of stock-market prices</t>
  </si>
  <si>
    <t>Journal of Business</t>
  </si>
  <si>
    <t>Returns to buying winners and selling losers: Implications for stock market efficiency</t>
  </si>
  <si>
    <t>The relationship between return and market value of common stocks</t>
  </si>
  <si>
    <t>Journal of Financial Economics</t>
  </si>
  <si>
    <t>Equilibrium in a capital asset market</t>
  </si>
  <si>
    <t>Econometrica: Journal of the Econometric Society</t>
  </si>
  <si>
    <t>Noise trader risk in financial markets</t>
  </si>
  <si>
    <t>Stock markets, banks, and economic growth</t>
  </si>
  <si>
    <t>American Economic Review</t>
  </si>
  <si>
    <t>The adjustment of stock prices to new information</t>
  </si>
  <si>
    <t>International Economic Review</t>
  </si>
  <si>
    <t>Economic forces and the stock market</t>
  </si>
  <si>
    <t>A five-factor asset pricing model</t>
  </si>
  <si>
    <t>Business conditions and expected returns on stocks and bonds</t>
  </si>
  <si>
    <t>Investor sentiment in the stock market</t>
  </si>
  <si>
    <t>Journal of Economic Perspectives</t>
  </si>
  <si>
    <t>A comprehensive look at the empirical performance of equity premium prediction</t>
  </si>
  <si>
    <t>Review of Financial Studies</t>
  </si>
  <si>
    <t>Stock prices, earnings, and expected dividends</t>
  </si>
  <si>
    <t>Investor psychology and asset pricing</t>
  </si>
  <si>
    <t>Is all that talk just noise? The information content of internet stock message boards</t>
  </si>
  <si>
    <t>Predicting excess stock returns out of sample: Can anything beat the historical average?</t>
  </si>
  <si>
    <t>The utility of wealth</t>
  </si>
  <si>
    <t>Predicting returns in the stock and bond markets</t>
  </si>
  <si>
    <t>Citations</t>
    <phoneticPr fontId="1" type="noConversion"/>
  </si>
  <si>
    <t>Journal</t>
    <phoneticPr fontId="1" type="noConversion"/>
  </si>
  <si>
    <t>Investor psychology and stock market under-and overreactions</t>
  </si>
  <si>
    <t>Investor sentiment and the cross-section of stock returns</t>
  </si>
  <si>
    <t>Size and book-to-market factors in earnings and returns</t>
  </si>
  <si>
    <t>Giving content to investor sentiment: The role of media in the stock market</t>
  </si>
  <si>
    <t>Security prices, risk, and maximal gains from diversification</t>
    <phoneticPr fontId="1" type="noConversion"/>
  </si>
  <si>
    <t>The capital asset pricing model: Theory and evidence</t>
  </si>
  <si>
    <t>Random walks in stock market prices</t>
  </si>
  <si>
    <t>Stock returns and the term structure</t>
  </si>
  <si>
    <t>Consumption, aggregate wealth, and expected stock returns</t>
  </si>
  <si>
    <t>In search of attention</t>
  </si>
  <si>
    <t>More Than Words Quantifying Language to Measure Firms Fundamentals</t>
  </si>
  <si>
    <t>The influence of growth duration on share prices</t>
  </si>
  <si>
    <t>Holt C C.,</t>
  </si>
  <si>
    <t>University of Wisconsin.,</t>
  </si>
  <si>
    <t>宏微观指标</t>
  </si>
  <si>
    <t>https://www.jstor.org/stable/2977053</t>
  </si>
  <si>
    <t>Sharpe W F.,</t>
  </si>
  <si>
    <t>University of Washingto,</t>
  </si>
  <si>
    <t>https://onlinelibrary.wiley.com/doi/abs/10.1111/j.1540-6261.1964.tb02865.x</t>
  </si>
  <si>
    <t>Security prices, risk, and maximal gains from diversification</t>
  </si>
  <si>
    <t>Lintner J,</t>
  </si>
  <si>
    <t>Harvard University,</t>
  </si>
  <si>
    <t>nan</t>
  </si>
  <si>
    <t>https://www.jstor.org/stable/2977249</t>
  </si>
  <si>
    <t>Fama E F,</t>
  </si>
  <si>
    <t>University  of  Chicago,</t>
  </si>
  <si>
    <t>https://www.jstor.org/stable/2325486</t>
  </si>
  <si>
    <t>Portfolio returns and the random walk theory</t>
  </si>
  <si>
    <t>Cheng P L, 
Deets M K.,</t>
  </si>
  <si>
    <t>University of Massachuset，
University of Massachuset,</t>
  </si>
  <si>
    <t>https://www.jstor.org/stable/2325737</t>
  </si>
  <si>
    <t>A note on the behavior of expected price/earnings ratios over time</t>
  </si>
  <si>
    <t>Robichek A A, 
Bogue M C.,</t>
  </si>
  <si>
    <t>Stanford University,
0,</t>
  </si>
  <si>
    <t>https://www.jstor.org/stable/2325956</t>
  </si>
  <si>
    <t>Components of investment performance</t>
  </si>
  <si>
    <t>https://www.jstor.org/stable/2978261</t>
  </si>
  <si>
    <t>Common stocks as a hedge against inflation</t>
  </si>
  <si>
    <t>Bodie Z,</t>
  </si>
  <si>
    <t>Massachusetts Institute of Technology ,</t>
  </si>
  <si>
    <t>https://onlinelibrary.wiley.com/doi/abs/10.1111/j.1540-6261.1976.tb01899.x</t>
  </si>
  <si>
    <t>Inflation and rates of return on common stocks</t>
  </si>
  <si>
    <t>Nelson C R.,</t>
  </si>
  <si>
    <t>University of Washington,</t>
  </si>
  <si>
    <t>https://onlinelibrary.wiley.com/doi/abs/10.1111/j.1540-6261.1976.tb01900.x</t>
  </si>
  <si>
    <t>The" Fisher effect" for risky assets: An empirical investigation</t>
  </si>
  <si>
    <t>JF Jaffe，
G Mandelker,</t>
  </si>
  <si>
    <t>University of Pennsylvania,
Carnegie-Mellon University,</t>
  </si>
  <si>
    <t>https://www.jstor.org/stable/2326616</t>
  </si>
  <si>
    <t>The fiscal and monetary linkage between stock returns and inflation</t>
  </si>
  <si>
    <t>Geske R,
Roll R.,</t>
  </si>
  <si>
    <t>University of California,</t>
  </si>
  <si>
    <t>https://onlinelibrary.wiley.com/doi/abs/10.1111/j.1540-6261.1983.tb03623.x</t>
  </si>
  <si>
    <t>Campbell J Y, 
Shiller R J.,</t>
  </si>
  <si>
    <t>Princeton University,
Yale University,</t>
  </si>
  <si>
    <t>https://onlinelibrary.wiley.com/doi/abs/10.1111/j.1540-6261.1988.tb04598.x</t>
  </si>
  <si>
    <t>Economic significance of predictable variations in stock index returns</t>
  </si>
  <si>
    <t>Breen W, 
Glosten L R, 
Jagannathan R.,</t>
  </si>
  <si>
    <t>Northwestern University,
Columbia University,
University of Minesota,</t>
  </si>
  <si>
    <t>https://onlinelibrary.wiley.com/doi/abs/10.1111/j.1540-6261.1989.tb02649.x</t>
  </si>
  <si>
    <t>The cross‐section of expected stock returns</t>
  </si>
  <si>
    <t>Fama E F，
French K R,</t>
  </si>
  <si>
    <t>University of Chicago,
University of Chicago,</t>
  </si>
  <si>
    <t>https://onlinelibrary.wiley.com/doi/abs/10.1111/j.1540-6261.1992.tb04398.x</t>
  </si>
  <si>
    <t>Causal relations among stock returns, interest rates, real activity, and inflation</t>
  </si>
  <si>
    <t>Lee B S.,</t>
  </si>
  <si>
    <t>University of Minnesota,</t>
  </si>
  <si>
    <t>https://onlinelibrary.wiley.com/doi/abs/10.1111/j.1540-6261.1992.tb04673.x</t>
  </si>
  <si>
    <t>University  of  Chicago,
University  of  Chicago,</t>
  </si>
  <si>
    <t>https://www.sciencedirect.com/science/article/pii/0304405X93900235</t>
  </si>
  <si>
    <t>Jegadeesh N, 
Titman S,</t>
  </si>
  <si>
    <t>the Anderson Graduate School of Management,
Hong Kong University of Science and Technology,</t>
  </si>
  <si>
    <t>https://onlinelibrary.wiley.com/doi/abs/10.1111/j.1540-6261.1993.tb04702.x</t>
  </si>
  <si>
    <t>The impact of public information on the stock market</t>
  </si>
  <si>
    <t>Mitchell M L, 
Mulherin J H,</t>
  </si>
  <si>
    <t>University of Chicago, 
Pennsylvania State University.,</t>
  </si>
  <si>
    <t>信息传播</t>
  </si>
  <si>
    <t>https://onlinelibrary.wiley.com/doi/abs/10.1111/j.1540-6261.1994.tb00083.x</t>
  </si>
  <si>
    <t>Size and book‐to‐market factors in earnings and returns</t>
  </si>
  <si>
    <t>University of Chicago,
Yale  School  of Management,</t>
  </si>
  <si>
    <t>https://onlinelibrary.wiley.com/doi/abs/10.1111/j.1540-6261.1995.tb05169.x</t>
  </si>
  <si>
    <t>Carhart M M.,</t>
  </si>
  <si>
    <t>University of Southern California,</t>
  </si>
  <si>
    <t>https://onlinelibrary.wiley.com/doi/abs/10.1111/j.1540-6261.1997.tb03808.x</t>
  </si>
  <si>
    <t>Earnings and expected returns</t>
  </si>
  <si>
    <t>Lamont O,</t>
  </si>
  <si>
    <t>University of Chicago,</t>
  </si>
  <si>
    <t>https://onlinelibrary.wiley.com/doi/abs/10.1111/0022-1082.00065</t>
  </si>
  <si>
    <t>The corporate cost of capital and the return on corporate investment</t>
  </si>
  <si>
    <t>University of Chicago,
Tuck School of Business,</t>
  </si>
  <si>
    <t>https://onlinelibrary.wiley.com/doi/abs/10.1111/0022-1082.00178</t>
  </si>
  <si>
    <t>Characteristics, covariances, and average returns: 1929 to 1997</t>
  </si>
  <si>
    <t>Davis J L,
Fama E F,
French K R,</t>
  </si>
  <si>
    <t>Kansas State University ，
University of Chicago ，
the  Massachusetts Institute of Technology ,</t>
  </si>
  <si>
    <t>https://onlinelibrary.wiley.com/doi/abs/10.1111/0022-1082.00209</t>
  </si>
  <si>
    <t>Hirshleifer D,</t>
  </si>
  <si>
    <t>The Ohio State University,</t>
  </si>
  <si>
    <t>https://onlinelibrary.wiley.com/doi/abs/10.1111/0022-1082.00379</t>
  </si>
  <si>
    <t>Lettau M, 
Ludvigson S,</t>
  </si>
  <si>
    <t>Federal Reserve Bank of New York，
Federal Reserve Bank of New York,</t>
  </si>
  <si>
    <t>https://onlinelibrary.wiley.com/doi/abs/10.1111/0022-1082.00347</t>
  </si>
  <si>
    <t>Antweiler W, 
Frank M Z,</t>
  </si>
  <si>
    <t>University of British Columbia,</t>
  </si>
  <si>
    <t>https://onlinelibrary.wiley.com/doi/abs/10.1111/j.1540-6261.2004.00662.x</t>
  </si>
  <si>
    <t>Investor sentiment and the cross‐section of stock returns</t>
  </si>
  <si>
    <t>Baker M, 
Wurgler J.,</t>
  </si>
  <si>
    <t>Harvard Business School,
the NYU Stern School,</t>
  </si>
  <si>
    <t>https://onlinelibrary.wiley.com/doi/abs/10.1111/j.1540-6261.2006.00885.x</t>
  </si>
  <si>
    <t>The value premium and the CAPM</t>
  </si>
  <si>
    <t>https://onlinelibrary.wiley.com/doi/abs/10.1111/j.1540-6261.2006.01054.x</t>
  </si>
  <si>
    <t>Giving Content to Investor Sentiment the Role of Media in the Stock Market</t>
  </si>
  <si>
    <t>Tetlock P C,</t>
  </si>
  <si>
    <t>University of Texas,</t>
  </si>
  <si>
    <t>https://onlinelibrary.wiley.com/doi/abs/10.1111/j.1540-6261.2007.01232.x</t>
  </si>
  <si>
    <t>More Than Words Quantifying Language to Measure Firms’ Fundamentals</t>
  </si>
  <si>
    <t>Tetlock P C, 
TSECHANSKY M S，
Macskassy S,</t>
  </si>
  <si>
    <t>University of Texas，
University of Texas，
Fetch Technologies,</t>
  </si>
  <si>
    <t>https://onlinelibrary.wiley.com/doi/abs/10.1111/j.1540-6261.2008.01362.x</t>
  </si>
  <si>
    <t>Economic links and predictable returns</t>
  </si>
  <si>
    <t>Cohen L, 
Frazzini A,</t>
  </si>
  <si>
    <t>Harvard University ，
University of Chicago,</t>
  </si>
  <si>
    <t>https://onlinelibrary.wiley.com/doi/abs/10.1111/j.1540-6261.2008.01379.x</t>
  </si>
  <si>
    <t>Media Coverage and the Cross-Section of Stock Returns</t>
  </si>
  <si>
    <t>Fang L, 
Peress J,</t>
  </si>
  <si>
    <t>INSEAD，
INSEAD,</t>
  </si>
  <si>
    <t>https://onlinelibrary.wiley.com/doi/abs/10.1111/j.1540-6261.2009.01493.x</t>
  </si>
  <si>
    <t>Da Z, 
Engelberg J, 
Gao P,</t>
  </si>
  <si>
    <t>University of Notre Dame,
University of California,
University of Notre Dame,</t>
  </si>
  <si>
    <t>https://onlinelibrary.wiley.com/doi/abs/10.1111/j.1540-6261.2011.01679.x</t>
  </si>
  <si>
    <t>The Causal Impact of Media in Financial Markets</t>
  </si>
  <si>
    <t>Engelberg J E, 
Parsons C A,</t>
  </si>
  <si>
    <t>University of North Carolina
at Chapel Hill，
University of North Carolina
at Chapel Hill.,</t>
  </si>
  <si>
    <t>https://onlinelibrary.wiley.com/doi/abs/10.1111/j.1540-6261.2010.01626.x</t>
  </si>
  <si>
    <t>Selective Publicity and Stock Prices</t>
  </si>
  <si>
    <t>Solomon D H,</t>
  </si>
  <si>
    <t>https://onlinelibrary.wiley.com/doi/abs/10.1111/j.1540-6261.2012.01726.x</t>
  </si>
  <si>
    <t>Sentiment during recessions</t>
  </si>
  <si>
    <t>Garcia D,</t>
  </si>
  <si>
    <t>University of North Carolina,</t>
  </si>
  <si>
    <t>https://onlinelibrary.wiley.com/doi/abs/10.1111/jofi.12027</t>
  </si>
  <si>
    <t>The importance of industry links in merger waves</t>
  </si>
  <si>
    <t>Ahern K R, 
Harford J,</t>
  </si>
  <si>
    <t>University of Southern California，
University of Washington,</t>
  </si>
  <si>
    <t>https://onlinelibrary.wiley.com/doi/abs/10.1111/jofi.12122</t>
  </si>
  <si>
    <t>Connected stocks</t>
  </si>
  <si>
    <t>Anton M, 
Polk C. ,</t>
  </si>
  <si>
    <t>London School of Economics，
London School of Economics,</t>
  </si>
  <si>
    <t>相关公司状态</t>
  </si>
  <si>
    <t>https://onlinelibrary.wiley.com/doi/abs/10.1111/jofi.12149</t>
  </si>
  <si>
    <t>The Media and the Diffusion of Information in Financial Markets Evidence from Newspaper Strikes</t>
  </si>
  <si>
    <t>Peress J,</t>
  </si>
  <si>
    <t>INSEAD,</t>
  </si>
  <si>
    <t>https://onlinelibrary.wiley.com/doi/abs/10.1111/jofi.12179</t>
  </si>
  <si>
    <t>What is the Expected Return on a Stock?</t>
  </si>
  <si>
    <t>Martin I W R,
Wagner C,</t>
  </si>
  <si>
    <t>London School of Economics,
WU Vienna University of Economics and Business,</t>
  </si>
  <si>
    <t>https://onlinelibrary.wiley.com/doi/abs/10.1111/jofi.12778</t>
  </si>
  <si>
    <t>Stock Market's Assessment of Monetary Policy Transmission: The Cash Flow Effect</t>
  </si>
  <si>
    <t>The Journal of Finance</t>
  </si>
  <si>
    <t>Bilkent University</t>
  </si>
  <si>
    <t>https://onlinelibrary.wiley.com/doi/abs/10.1111/jofi.13163</t>
  </si>
  <si>
    <t>year</t>
    <phoneticPr fontId="1" type="noConversion"/>
  </si>
  <si>
    <t>引用量更新</t>
  </si>
  <si>
    <t>Journal/Conference</t>
  </si>
  <si>
    <t>author</t>
  </si>
  <si>
    <t>institution</t>
  </si>
  <si>
    <t>factors</t>
    <phoneticPr fontId="1" type="noConversion"/>
  </si>
  <si>
    <t>models</t>
    <phoneticPr fontId="1" type="noConversion"/>
  </si>
  <si>
    <t>website</t>
    <phoneticPr fontId="1" type="noConversion"/>
  </si>
  <si>
    <t>title</t>
    <phoneticPr fontId="1" type="noConversion"/>
  </si>
  <si>
    <r>
      <t>REFET GÜRKAYNAK, HAT</t>
    </r>
    <r>
      <rPr>
        <sz val="11"/>
        <color rgb="FFFF0000"/>
        <rFont val="等线"/>
        <family val="2"/>
        <scheme val="minor"/>
      </rPr>
      <t>İ</t>
    </r>
    <r>
      <rPr>
        <sz val="11"/>
        <color rgb="FFFF0000"/>
        <rFont val="等线"/>
        <family val="3"/>
        <charset val="134"/>
        <scheme val="minor"/>
      </rPr>
      <t>CE GÖKÇE KARASOY-CAN, SANG SEOK LEE</t>
    </r>
  </si>
  <si>
    <t>Banz R W. ,</t>
  </si>
  <si>
    <t>Northwestern University,</t>
  </si>
  <si>
    <t>https://www.sciencedirect.com/science/article/pii/0304405X81900180</t>
  </si>
  <si>
    <t>DB Keim, 
RF Stambaugh,</t>
  </si>
  <si>
    <t>University of Pennsylvania,
University of Chicago,</t>
  </si>
  <si>
    <t>https://www.sciencedirect.com/science/article/pii/0304405X8690070X</t>
  </si>
  <si>
    <t>Campbell J Y,</t>
  </si>
  <si>
    <t>Princeton Universiy,</t>
  </si>
  <si>
    <t>https://www.sciencedirect.com/science/article/pii/0304405X87900456</t>
  </si>
  <si>
    <t>Stock returns and inflation: The role of the monetary sector</t>
  </si>
  <si>
    <t>Kaul G.,</t>
  </si>
  <si>
    <t>University of Michigan,</t>
  </si>
  <si>
    <t>https://www.sciencedirect.com/science/article/pii/0304405X87900419</t>
  </si>
  <si>
    <t>Dividend yields and expected stock returns</t>
  </si>
  <si>
    <t>https://www.sciencedirect.com/science/article/pii/0304405X88900207</t>
  </si>
  <si>
    <t>University  of  Chicago，
NBER and University  of  Chicago</t>
  </si>
  <si>
    <t>https://www.sciencedirect.com/science/article/pii/0304405X89900950</t>
  </si>
  <si>
    <t>Stock returns and volatility a firm-level analysis</t>
  </si>
  <si>
    <t>Duffee G R. ,</t>
  </si>
  <si>
    <t>Federal Reserve Board,</t>
  </si>
  <si>
    <t>https://www.sciencedirect.com/science/article/pii/0304405X94008017</t>
  </si>
  <si>
    <t>Book-to-market, dividend yield, and expected market returns: A time-series analysis</t>
  </si>
  <si>
    <t>Kothari S P, 
Shanken J,</t>
  </si>
  <si>
    <t>University of Rochester，
University of Rochester,</t>
  </si>
  <si>
    <t>https://www.sciencedirect.com/science/article/pii/S0304405X97000020</t>
  </si>
  <si>
    <t>Book-to-market ratios as predictors of market returns</t>
  </si>
  <si>
    <t>Pontiff J, 
Schall L D.,</t>
  </si>
  <si>
    <t>University of Washington,
University of Washington,</t>
  </si>
  <si>
    <t>https://www.sciencedirect.com/science/article/pii/S0304405X98000208</t>
  </si>
  <si>
    <t>Predictive regressions</t>
  </si>
  <si>
    <t>Stambaugh R F.,</t>
  </si>
  <si>
    <t>University  of  Pennsylvania,</t>
  </si>
  <si>
    <t>https://www.sciencedirect.com/science/article/pii/S0304405X99000410</t>
  </si>
  <si>
    <t>Style investing</t>
  </si>
  <si>
    <t>Barberis N, 
Shleifer A,</t>
  </si>
  <si>
    <t>University  of  Chicago,
Harvard University,</t>
  </si>
  <si>
    <t>https://www.sciencedirect.com/science/article/pii/S0304405X03000643</t>
  </si>
  <si>
    <t>Stock price reaction to news and no-news: drift and reversal after headlines</t>
  </si>
  <si>
    <t>Chan W S.,</t>
  </si>
  <si>
    <t>AlphaSimplex Group,</t>
  </si>
  <si>
    <t>https://www.sciencedirect.com/science/article/pii/S0304405X03001466</t>
  </si>
  <si>
    <t>Profitability, investment and average returns</t>
  </si>
  <si>
    <t>University of Chicago,
Tuck School of Business, Dartmouth College,</t>
  </si>
  <si>
    <t>https://www.sciencedirect.com/science/article/pii/S0304405X06001164</t>
  </si>
  <si>
    <t>Disagreement, tastes, and asset prices</t>
  </si>
  <si>
    <t>https://www.sciencedirect.com/science/article/pii/S0304405X06001954</t>
  </si>
  <si>
    <t>Information Aggregation Around Macroeconomic Announcements: Revisions Matter</t>
  </si>
  <si>
    <t>Gilbert T,</t>
  </si>
  <si>
    <t>https://www.sciencedirect.com/science/article/pii/S0304405X11000468</t>
  </si>
  <si>
    <t>https://www.sciencedirect.com/science/article/pii/S0304405X14002323</t>
  </si>
  <si>
    <t>Technological links and predictable returns</t>
  </si>
  <si>
    <t>Lee C M C, 
Sun S T, 
Wang R,
Zhang R,</t>
  </si>
  <si>
    <t>Stanford University,
Peking University,
Peking University,
Peking University.,</t>
  </si>
  <si>
    <t>https://www.sciencedirect.com/science/article/pii/S0304405X18303167</t>
  </si>
  <si>
    <t>Shared analyst coverage: Unifying momentum spillover effects</t>
  </si>
  <si>
    <t>Ali U, 
Hirshleifer D,</t>
  </si>
  <si>
    <t>MIG Capital.,
Merage School of Business,</t>
  </si>
  <si>
    <t>https://www.sciencedirect.com/science/article/pii/S0304405X19302533</t>
  </si>
  <si>
    <t>Mood beta and seasonalities in stock returns</t>
  </si>
  <si>
    <t>Hirshleifer D, Jiang D, DiGiovanni Y M</t>
  </si>
  <si>
    <t>University of California at Irvine,Stony Brook University,University of South Florida</t>
  </si>
  <si>
    <t>https://www.sciencedirect.com/science/article/pii/S0304405X20300362</t>
  </si>
  <si>
    <t>Factors and risk premia in individual international stock returns</t>
  </si>
  <si>
    <t>Chaieb I, Langlois H, Scaillet O</t>
  </si>
  <si>
    <t>University of Geneva and Swiss Finance Institute</t>
  </si>
  <si>
    <t>https://www.sciencedirect.com/science/article/pii/S0304405X21001343</t>
  </si>
  <si>
    <t>Music sentiment and stock returns around the world</t>
  </si>
  <si>
    <t>Alex Edmans, Adrian Fernandez-Perez, Alexandre Garel, Ivan Indriawan</t>
  </si>
  <si>
    <t>London Business School, Auckland University of Technology, Audencia Business School</t>
  </si>
  <si>
    <t>https://www.sciencedirect.com/science/article/pii/S0304405X21003718</t>
  </si>
  <si>
    <t>News as sources of jumps in stock returns: Evidence from 21 million news articles for 9000 companies</t>
  </si>
  <si>
    <t>Yoontae Jeon, Thomas H. McCurdy, Xiaofei Zhao</t>
  </si>
  <si>
    <t>Ryerson University, University of Toronto, Georgetown University</t>
  </si>
  <si>
    <t>https://www.sciencedirect.com/science/article/pii/S0304405X21003470</t>
  </si>
  <si>
    <t>Salience theory and the cross-section of stock returns: International and further evidence</t>
  </si>
  <si>
    <t>Nusret Cakici, Adam Zaremba</t>
  </si>
  <si>
    <t>Fordham University, Montpellier Business School, Poznan University of Economics and Business</t>
  </si>
  <si>
    <t>https://www.sciencedirect.com/science/article/pii/S0304405X2100475X</t>
  </si>
  <si>
    <t>Presidential economic approval rating and the cross-section of stock returns</t>
  </si>
  <si>
    <t>Zilin Chen, Zhi Da, Dashan Huang, Liyao Wang</t>
  </si>
  <si>
    <t>Southwestern University of Finance and Economics, University of Notre Dame, Singapore Management University, Hong Kong Baptist University</t>
  </si>
  <si>
    <t>https://www.sciencedirect.com/science/article/pii/S0304405X22002240</t>
  </si>
  <si>
    <t>J F ECON</t>
    <phoneticPr fontId="1" type="noConversion"/>
  </si>
  <si>
    <t>Dividend yields and expected stock returns: Alternative procedures for inference and measurement</t>
  </si>
  <si>
    <t>Hodrick R J.,</t>
  </si>
  <si>
    <t>https://academic.oup.com/rfs/article-abstract/5/3/357/1576229</t>
  </si>
  <si>
    <t>Stock return predictability: Is it there?</t>
  </si>
  <si>
    <t>Ang A, 
Bekaert G,</t>
  </si>
  <si>
    <t>Columbia University,
Columbia University,</t>
  </si>
  <si>
    <t>https://academic.oup.com/rfs/article-abstract/20/3/651/1563908</t>
  </si>
  <si>
    <t>Welch I, 
Goyal A,</t>
  </si>
  <si>
    <t>Brown University,
Emory University,</t>
  </si>
  <si>
    <t>https://academic.oup.com/rfs/article-abstract/21/4/1455/1565737</t>
  </si>
  <si>
    <t>Campbell J Y, 
Thompson S B.,</t>
  </si>
  <si>
    <t>Harvard University,
Arrowstreet Capital,</t>
  </si>
  <si>
    <t>https://academic.oup.com/rfs/article-abstract/21/4/1509/1567518</t>
  </si>
  <si>
    <t>Does Public Financial News Resolve Asymmetric Information?</t>
  </si>
  <si>
    <t>Columbia Business School,</t>
  </si>
  <si>
    <t>https://academic.oup.com/rfs/article-abstract/23/9/3520/1671631</t>
  </si>
  <si>
    <t>How?important?is the?financial?media in?global markets?</t>
  </si>
  <si>
    <t>Griffin J M, 
Hirschey N H, 
Kelly P J,</t>
  </si>
  <si>
    <t>University of Texas，
University of Texas，
University of South Florida,</t>
  </si>
  <si>
    <t>https://academic.oup.com/rfs/article-abstract/24/12/3941/1573773</t>
  </si>
  <si>
    <t>Journalists and the Stock Market</t>
  </si>
  <si>
    <t>Dougal C, 
Engelberg J, 
Garcia D, 
Parsons C A,</t>
  </si>
  <si>
    <t>University of North Carolina，
University of North Carolina，
University of North Carolina，
University of North Carolina,</t>
  </si>
  <si>
    <t>https://academic.oup.com/rfs/article-abstract/25/3/639/1617372</t>
  </si>
  <si>
    <t>Wisdom of Crowds the Value of Stock Opinions Transmitted Through Social Media</t>
  </si>
  <si>
    <t>Chen H, 
De P, 
Hu Y J, 
Hwang B H,</t>
  </si>
  <si>
    <t>City University of Hong Kong，
Purdue University,
Georgia Institute of Technology,
Purdue University,</t>
  </si>
  <si>
    <t>https://academic.oup.com/rfs/article-abstract/27/5/1367/1581938</t>
  </si>
  <si>
    <t>Rumor Has It: Sensationalism in Financial Media</t>
  </si>
  <si>
    <t>Ahern K R, 
Sosyura D,</t>
  </si>
  <si>
    <t>University of Southern California，
University of Michigan,</t>
  </si>
  <si>
    <t>https://academic.oup.com/rfs/article-abstract/28/7/2050/1592275</t>
  </si>
  <si>
    <t>Dissecting anomalies with a five-factor model</t>
  </si>
  <si>
    <t>https://academic.oup.com/rfs/article-abstract/29/1/69/1843682</t>
  </si>
  <si>
    <t>Geographic lead-lag effects</t>
  </si>
  <si>
    <t>Parsons C A,
Sabbatucci R, 
Titman S,</t>
  </si>
  <si>
    <t>University of Washington,
Stockholm School of Economics,
University of Texas at Austin,</t>
  </si>
  <si>
    <t>https://academic.oup.com/rfs/article-abstract/33/10/4721/5682420</t>
  </si>
  <si>
    <t>Factors That Fit the Time Series and Cross-Section of Stock Returns</t>
  </si>
  <si>
    <t>The Review of Financial Studies</t>
  </si>
  <si>
    <t>Martin Lettau, Markus Pelger</t>
  </si>
  <si>
    <t>University of California at Berkeley,Stanford University</t>
  </si>
  <si>
    <t>https://academic.oup.com/rfs/article-abstract/33/5/2274/5756219</t>
  </si>
  <si>
    <t>Illiquidity and stock returns II: Cross-section and time-series effects</t>
  </si>
  <si>
    <t>Amihud Y, Noh J</t>
  </si>
  <si>
    <t>Weatherhead School of Management,NYU-Stern School of Business</t>
  </si>
  <si>
    <t>https://academic.oup.com/rfs/article-abstract/34/4/2101/5869447</t>
  </si>
  <si>
    <t>What Moves Stock Prices? The Roles of News, Noise, and Information</t>
  </si>
  <si>
    <t>Jonathan Brogaard, Thanh Huong Nguyen, Talis J Putnins, Eliza Wu</t>
  </si>
  <si>
    <t>University of Utah, The University of Danang, University of Technology Sydney, University of Sydney</t>
  </si>
  <si>
    <t>https://academic.oup.com/rfs/article-abstract/35/9/4341/6493385</t>
  </si>
  <si>
    <t>RFS</t>
    <phoneticPr fontId="1" type="noConversion"/>
  </si>
  <si>
    <t>Duration of growth, changes in growth rates, and corporate share prices</t>
  </si>
  <si>
    <t>Financial Analysts Journal</t>
  </si>
  <si>
    <t>Brigham E F, 
Pappas J L.,</t>
  </si>
  <si>
    <t>UCLA,
UCLA,</t>
  </si>
  <si>
    <t>https://www.tandfonline.com/doi/pdf/10.2469/faj.v22.n3.157</t>
  </si>
  <si>
    <t>Inflation, rational valuation and the market</t>
  </si>
  <si>
    <t>Modigliani F, 
Cohn R A. ,</t>
  </si>
  <si>
    <t>Masachusetts Institute of Technology,
University of Illinois,</t>
  </si>
  <si>
    <t>https://www.tandfonline.com/doi/pdf/10.2469/faj.v35.n2.24</t>
  </si>
  <si>
    <t>https://www.tandfonline.com/doi/abs/10.2469/faj.v51.n1.1861</t>
  </si>
  <si>
    <t>News or noise? Internet postings and stock prices</t>
  </si>
  <si>
    <t>Tumarkin R, 
Whitelaw R F.,</t>
  </si>
  <si>
    <t>New York University,
New York University.,</t>
  </si>
  <si>
    <t>https://www.tandfonline.com/doi/abs/10.2469/faj.v57.n3.2449</t>
  </si>
  <si>
    <t>The anatomy of value and growth stock returns</t>
  </si>
  <si>
    <t>https://www.tandfonline.com/doi/abs/10.2469/faj.v63.n6.4926</t>
  </si>
  <si>
    <t>Benchmarks as limits to arbitrage: Understanding the low-volatility anomaly</t>
  </si>
  <si>
    <t>Baker M, 
Bradley B, 
Wurgler J.,</t>
  </si>
  <si>
    <t>Harvard Business School,
Acadian Asset Management,
New York University,</t>
  </si>
  <si>
    <t>https://www.tandfonline.com/doi/abs/10.2469/faj.v67.n1.4</t>
  </si>
  <si>
    <t>Are cash flows better stock return predictors than profits?</t>
  </si>
  <si>
    <t>Foerster S,
Tsagarelis J,
Wang G,</t>
  </si>
  <si>
    <t>Western University,
Western University,
London,</t>
  </si>
  <si>
    <t>https://www.tandfonline.com/doi/abs/10.2469/faj.v73.n1.2</t>
  </si>
  <si>
    <t>ESG rating disagreement and stock returns</t>
  </si>
  <si>
    <t>Gibson Brandon R, Krueger P, Schmidt P S</t>
  </si>
  <si>
    <t>University of Geneva,University of Zurich</t>
  </si>
  <si>
    <t>https://www.tandfonline.com/doi/abs/10.1080/0015198X.2021.1963186</t>
  </si>
  <si>
    <t>FiNANC ANAL J</t>
    <phoneticPr fontId="1" type="noConversion"/>
  </si>
  <si>
    <t>Modern portfolio theory, 1950 to date</t>
  </si>
  <si>
    <t>Journal of Banking &amp; Finance</t>
  </si>
  <si>
    <t>Elton E J, 
Gruber M J. ,</t>
  </si>
  <si>
    <t>https://www.sciencedirect.com/science/article/pii/S0378426697000484</t>
  </si>
  <si>
    <t>The Effect of Macroeconomic News on Stock Returns: New Evidence from Newspaper Coverage</t>
  </si>
  <si>
    <t>Birz G, 
Lott J R,</t>
  </si>
  <si>
    <t>State University of New York at Binghamton，
State University of New York at Binghamton,</t>
  </si>
  <si>
    <t>https://www.sciencedirect.com/science/article/pii/S0378426611001117</t>
  </si>
  <si>
    <t>Intraday Jumps and Us Macroeconomic News Announcements</t>
  </si>
  <si>
    <t>Evans K P,</t>
  </si>
  <si>
    <t>Cardiff University,</t>
  </si>
  <si>
    <t>https://www.sciencedirect.com/science/article/pii/S0378426611000896</t>
  </si>
  <si>
    <t>When Does the Stock Market Listen to Economic News? New Evidence from Copulas and News Wires</t>
  </si>
  <si>
    <t>Medovikov I,</t>
  </si>
  <si>
    <t>Brock University,</t>
  </si>
  <si>
    <t>https://www.sciencedirect.com/science/article/pii/S0378426616000145</t>
  </si>
  <si>
    <t>Insider trading, stock return volatility, and the option market's pricing of the information content of insider trading</t>
  </si>
  <si>
    <t>Chiang C H,
Chung S G,
Louis H,</t>
  </si>
  <si>
    <t>The World Bank Group,
Wayne State University,
Pennsylvania State University,</t>
  </si>
  <si>
    <t>https://www.sciencedirect.com/science/article/pii/S0378426616302400</t>
  </si>
  <si>
    <t>Intraday online investor sentiment and return patterns in the US stock market</t>
  </si>
  <si>
    <t>Renault T,</t>
  </si>
  <si>
    <t>Université Paris 1 Panthéon-Sorbonne,</t>
  </si>
  <si>
    <t>https://www.sciencedirect.com/science/article/pii/S0378426617301589</t>
  </si>
  <si>
    <t>The Twitter myth revisited: Intraday investor sentiment, Twitter activity and individual-level stock return volatility</t>
  </si>
  <si>
    <t>Behrendt S,
Schmidt A,</t>
  </si>
  <si>
    <t>Zeppelin University,
University of Hohenheim,</t>
  </si>
  <si>
    <t>https://www.sciencedirect.com/science/article/pii/S0378426618302115</t>
  </si>
  <si>
    <t>Aggregate investor sentiment and stock return synchronicity</t>
  </si>
  <si>
    <t>Chue T K,
Gul F A,
Mian G M,</t>
  </si>
  <si>
    <t>Hong Kong Polytechnic University,
Deakin University,
Zayed University,</t>
  </si>
  <si>
    <t>https://www.sciencedirect.com/science/article/pii/S0378426619302031</t>
  </si>
  <si>
    <t>Does residual state ownership increase stock return volatility? Evidence from China's secondary privatization</t>
  </si>
  <si>
    <t>Xie F,
Anderson H D,
Chi J,
Liao J,</t>
  </si>
  <si>
    <t>Massey University,
Massey University,
Massey University,
Massey University,</t>
  </si>
  <si>
    <t>https://www.sciencedirect.com/science/article/pii/S0378426619300184</t>
  </si>
  <si>
    <t>Liquidity and the cross-section of international stock returns</t>
  </si>
  <si>
    <t>Cakici N, Zaremba A</t>
  </si>
  <si>
    <t>Fordham University,University of Montpellier,Poznan University of Economics and Business</t>
  </si>
  <si>
    <t>https://www.sciencedirect.com/science/article/pii/S0378426621000819</t>
  </si>
  <si>
    <t>The ordering of historical returns and the cross-section of subsequent returns</t>
  </si>
  <si>
    <t>Mohrschladt H</t>
  </si>
  <si>
    <t>University of Münster</t>
  </si>
  <si>
    <t>https://www.sciencedirect.com/science/article/pii/S0378426621000224</t>
  </si>
  <si>
    <t>J bank Financ</t>
    <phoneticPr fontId="1" type="noConversion"/>
  </si>
  <si>
    <t>Markowitz H.,</t>
  </si>
  <si>
    <t>The Rand Corporation,</t>
  </si>
  <si>
    <t>https://www.journals.uchicago.edu/doi/abs/10.1086/257177</t>
  </si>
  <si>
    <t>Fama E F，
MacBeth J D,</t>
  </si>
  <si>
    <t>https://www.journals.uchicago.edu/doi/abs/10.1086/260061</t>
  </si>
  <si>
    <t>De Long J B, 
Shleifer A, 
Summers L H, 
Waldmann R J,</t>
  </si>
  <si>
    <t>Harvard University,
University of Chicago,
University of Chicago,
European University Institute,</t>
  </si>
  <si>
    <t>https://www.journals.uchicago.edu/doi/abs/10.1086/261703</t>
  </si>
  <si>
    <t>The small world of investing: Board connections and mutual fund returns</t>
  </si>
  <si>
    <t>Cohen L, 
Frazzini A, 
Malloy C.,</t>
  </si>
  <si>
    <t>Harvard University ，
University of Chicago，
Harvard University,</t>
  </si>
  <si>
    <t>https://www.journals.uchicago.edu/doi/abs/10.1086/592415</t>
  </si>
  <si>
    <t>J P E</t>
    <phoneticPr fontId="1" type="noConversion"/>
  </si>
  <si>
    <t>The empirical relationships between the dividend and investment decisions of firms</t>
  </si>
  <si>
    <t>https://www.jstor.org/stable/1808884</t>
  </si>
  <si>
    <t>The effects of a firm's investment and financing decisions on the welfare of its security holders</t>
  </si>
  <si>
    <t>https://www.jstor.org/stable/1805260</t>
  </si>
  <si>
    <t>Levine R, 
Zervos S. ,</t>
  </si>
  <si>
    <t>University of Virginia,
Barclay's Capital Canary Wharf,</t>
  </si>
  <si>
    <t>https://www.jstor.org/stable/116848</t>
  </si>
  <si>
    <t>Two pillars of asset pricing</t>
  </si>
  <si>
    <t>https://pubs.aeaweb.org/doi/pdf/10.1257/aer.104.6.1467</t>
  </si>
  <si>
    <t>AM ECON REV</t>
    <phoneticPr fontId="1" type="noConversion"/>
  </si>
  <si>
    <t>Scientific reports</t>
  </si>
  <si>
    <t>Preis T, 
Moat H S, 
Stanley H E,</t>
  </si>
  <si>
    <t>University of Warwick，
Boston University，
Boston University,</t>
  </si>
  <si>
    <t>https://link.springer.com/content/pdf/10.1038/srep01684.pdf</t>
  </si>
  <si>
    <t>Moat H S, 
Curme C, 
Avakian A,
Kenett D Y，
Stanley H E，
Preis T,</t>
  </si>
  <si>
    <t>University College London，
Boston University,
Boston University,
Boston University,
Boston University,
The University of Warwick,</t>
  </si>
  <si>
    <t>https://www.nature.com/articles/srep01801</t>
  </si>
  <si>
    <t>Alanyali M, 
Moat H S, 
Preis T,</t>
  </si>
  <si>
    <t>University of Warwick，
University of Warwick，
University of Warwick,</t>
  </si>
  <si>
    <t>https://link.springer.com/content/pdf/10.1038/srep03578.pdf</t>
  </si>
  <si>
    <t>Zheludev I，
Smith R，
Aste T,</t>
  </si>
  <si>
    <t>University College London,
University College London,
University College London,</t>
  </si>
  <si>
    <t>https://www.nature.com/articles/srep04213</t>
  </si>
  <si>
    <t>Quantifying trading behavior in financial markets using google trends</t>
  </si>
  <si>
    <t>Quantifying wikipedia usage patterns before stock market moves.</t>
  </si>
  <si>
    <t>Quantifying the Relationship Between Financial News and the Stock Market</t>
  </si>
  <si>
    <t>When can social media lead financial markets?</t>
  </si>
  <si>
    <t>SCI REP</t>
    <phoneticPr fontId="1" type="noConversion"/>
  </si>
  <si>
    <t>European Financial Management</t>
  </si>
  <si>
    <t>Carretta A, 
Farina V, 
Martelli D, 
Fiordelisi F，
Schwizer P,</t>
  </si>
  <si>
    <t>University of Rome Tor Vergata,
University of Rome Tor Vergata,
University of Rome Tor Vergata,
University of Rome III,
University of Parma,</t>
  </si>
  <si>
    <t>https://onlinelibrary.wiley.com/doi/abs/10.1111/j.1468-036X.2010.00548.x</t>
  </si>
  <si>
    <t>Sprenger T O, 
Tumasjan A, 
Sandner P G,</t>
  </si>
  <si>
    <t>Technische Universit?t München,
Technische Universit?t München,
Technische Universit?t München,</t>
  </si>
  <si>
    <t>https://onlinelibrary.wiley.com/doi/abs/10.1111/j.1468-036X.2013.12007.x</t>
  </si>
  <si>
    <t>Dimpfl T, 
Jank S,</t>
  </si>
  <si>
    <t>University of Tubingen，
University of Tubingen,</t>
  </si>
  <si>
    <t>https://onlinelibrary.wiley.com/doi/abs/10.1111/eufm.12058</t>
  </si>
  <si>
    <t>Lin Q</t>
  </si>
  <si>
    <t>School of Finance, Zhejiang University of Finance and Economics,</t>
  </si>
  <si>
    <t>https://onlinelibrary.wiley.com/doi/abs/10.1111/eufm.12247</t>
  </si>
  <si>
    <t>Cornell B</t>
  </si>
  <si>
    <t>Anderson School of Management, UCLA</t>
  </si>
  <si>
    <t>https://onlinelibrary.wiley.com/doi/abs/10.1111/eufm.12295</t>
  </si>
  <si>
    <t>The Impact of Corporate Governance Press News on Stock Market Returns</t>
  </si>
  <si>
    <t>Tweets and trades: The information content of stock microblogs</t>
  </si>
  <si>
    <t>Can Internet Search Queries Help to Predict Stock Market Volatility?</t>
  </si>
  <si>
    <t>Idiosyncratic momentum and the cross-section of stock returns: Further evidence</t>
  </si>
  <si>
    <t>ESG preferences, risk and return</t>
  </si>
  <si>
    <t>E F M</t>
    <phoneticPr fontId="1" type="noConversion"/>
  </si>
  <si>
    <t>https://www.jstor.org/stable/2350752</t>
  </si>
  <si>
    <t>NF Chen, 
R Roll, 
SA Ross,</t>
  </si>
  <si>
    <t>University of Chicago，
University of California,
Yale University,</t>
  </si>
  <si>
    <t>https://www.jstor.org/stable/2352710</t>
  </si>
  <si>
    <t>Forecasting profitability and earnings</t>
  </si>
  <si>
    <t>Fama E F, 
French K R,</t>
  </si>
  <si>
    <t>https://www.jstor.org/stable/10.1086/209638</t>
  </si>
  <si>
    <t>J BUS</t>
    <phoneticPr fontId="1" type="noConversion"/>
  </si>
  <si>
    <t>Selecting macroeconomic variables as
explanatory factors of emerging
stock market returns</t>
  </si>
  <si>
    <t>Pacific-Basin Finance Journal</t>
  </si>
  <si>
    <t>Bilson C M, 
Brailsford T J, 
Hooper V J.,</t>
  </si>
  <si>
    <t>Australian National Uninversity，
Australian National Uninversity，
Uninversity of New South Wales,</t>
  </si>
  <si>
    <t>https://www.sciencedirect.com/science/article/pii/S0927538X01000208</t>
  </si>
  <si>
    <t>An Analysis of the Impact of Media Coverage on Stock Price Crashes and Jumps: Evidence from Japan</t>
  </si>
  <si>
    <t>Aman H,</t>
  </si>
  <si>
    <t>Kwansei Gakuin University,</t>
  </si>
  <si>
    <t>https://www.sciencedirect.com/science/article/pii/S0927538X13000176</t>
  </si>
  <si>
    <t>Does Financial News Predict Stock Returns? New Evidence from Islamic and Non-Islamic Stocks</t>
  </si>
  <si>
    <t>Narayan P K, 
Bannigidadmath D,</t>
  </si>
  <si>
    <t>Deakin University，
Deakin University,</t>
  </si>
  <si>
    <t>https://www.sciencedirect.com/science/article/pii/S0927538X15300317</t>
  </si>
  <si>
    <t>Stock return anomalies and individual investors in the Korean stock market</t>
  </si>
  <si>
    <t>Jang J,</t>
  </si>
  <si>
    <t>Chosun University,</t>
  </si>
  <si>
    <t>https://www.sciencedirect.com/science/article/pii/S0927538X17300720</t>
  </si>
  <si>
    <t>Stock return predictability from a mixed model perspective</t>
  </si>
  <si>
    <t>Dai Z,
Zhu H,</t>
  </si>
  <si>
    <t>Changsha University of Science and Technology,
Changsha University of Science and Technology,</t>
  </si>
  <si>
    <t>https://www.sciencedirect.com/science/article/pii/S0927538X1930633X</t>
  </si>
  <si>
    <t>Do factor models explain stock returns when prices behave explosively? Evidence from China</t>
  </si>
  <si>
    <t>Shaoping Wang, Lu Yu, Qing Zhao</t>
  </si>
  <si>
    <t>Huazhong University of Science and Technology</t>
  </si>
  <si>
    <t>https://www.sciencedirect.com/science/article/pii/S0927538X21000421</t>
  </si>
  <si>
    <t>P AC</t>
    <phoneticPr fontId="1" type="noConversion"/>
  </si>
  <si>
    <t>Where Do Informed Traders Trade First? Option Trading Activity, News Releases, and Stock Return Predictability</t>
  </si>
  <si>
    <t>Applied Economics</t>
  </si>
  <si>
    <t>Cremers M, 
Fodor A, 
Weinbaum D,</t>
  </si>
  <si>
    <t>University of Notre Dame，
Ohio University，
Syracuse University,</t>
  </si>
  <si>
    <t>News Sentiment, Factor Models and Abnormal Stock Returns</t>
  </si>
  <si>
    <t>Borovkova S,</t>
  </si>
  <si>
    <t>Vrije Universiteit Amsterdam,</t>
  </si>
  <si>
    <t>https://papers.ssrn.com/sol3/papers.cfm?abstract_id=2695360</t>
  </si>
  <si>
    <t>Time-varying relationship of news sentiment, implied volatility and stock returns</t>
  </si>
  <si>
    <t>Smales L A,</t>
  </si>
  <si>
    <t>University of Western Australia,</t>
  </si>
  <si>
    <t>https://www.tandfonline.com/doi/abs/10.1080/00036846.2016.1167830</t>
  </si>
  <si>
    <t>APPL E</t>
    <phoneticPr fontId="1" type="noConversion"/>
  </si>
  <si>
    <t>Twitter financial community sentiment and its predictive relationship to stock market movement</t>
  </si>
  <si>
    <t>Quantitative Finance</t>
  </si>
  <si>
    <t>Yang S Y, 
Mo S Y K, 
Liu A,</t>
  </si>
  <si>
    <t>Stevens Institute of Technology，
Stevens Institute of Technology，
Stevens Institute of Technology,</t>
  </si>
  <si>
    <t>https://www.tandfonline.com/doi/abs/10.1080/14697688.2015.1071078</t>
  </si>
  <si>
    <t>Predicting Abnormal Returns from News Using Text Classification</t>
  </si>
  <si>
    <t>Luss R, 
d’Aspremont A,</t>
  </si>
  <si>
    <t>Princeton University，
Princeton University,</t>
  </si>
  <si>
    <t>https://www.tandfonline.com/doi/abs/10.1080/14697688.2012.672762</t>
  </si>
  <si>
    <t>How news affects the trading behaviour of different categories of investors in a financial market</t>
  </si>
  <si>
    <t>Lillo F, 
Miccichè S, 
Tumminello M, 
Piilo J，
Mantegna R N,</t>
  </si>
  <si>
    <t>Università di Palermo，
Università di Palermo，
Università di Palermo,
University of Turku，
Università di Palermo,</t>
  </si>
  <si>
    <t>https://www.tandfonline.com/doi/abs/10.1080/14697688.2014.931593</t>
  </si>
  <si>
    <t>Slow-moving capital and stock returns</t>
  </si>
  <si>
    <t>Isaenko S</t>
  </si>
  <si>
    <t>The John Molson School of Business, Concordia University</t>
  </si>
  <si>
    <t>https://www.tandfonline.com/doi/abs/10.1080/14697688.2020.1720276</t>
  </si>
  <si>
    <t>Q F</t>
    <phoneticPr fontId="1" type="noConversion"/>
  </si>
  <si>
    <t>bib</t>
    <phoneticPr fontId="1" type="noConversion"/>
  </si>
  <si>
    <t>JF</t>
    <phoneticPr fontId="1" type="noConversion"/>
  </si>
  <si>
    <t>hirshleifer2020mood</t>
  </si>
  <si>
    <t>chaieb2021factors</t>
  </si>
  <si>
    <t>edmans2022music</t>
  </si>
  <si>
    <t>jeon2022news</t>
  </si>
  <si>
    <t>cakici2022salience</t>
  </si>
  <si>
    <t>chen2023presidential</t>
  </si>
  <si>
    <t>lettau2020factors</t>
  </si>
  <si>
    <t>amihud2021illiquidity</t>
  </si>
  <si>
    <t>brogaard2022moves</t>
  </si>
  <si>
    <t>foerster2017cash</t>
  </si>
  <si>
    <t>gibson2021esg</t>
  </si>
  <si>
    <t>renault2017intraday</t>
  </si>
  <si>
    <t>behrendt2018twitter</t>
  </si>
  <si>
    <t>chue2019aggregate</t>
  </si>
  <si>
    <t>xie2019does</t>
  </si>
  <si>
    <t>cakici2021liquidity</t>
  </si>
  <si>
    <t>mohrschladt2021ordering</t>
  </si>
  <si>
    <t>lin2020idiosyncratic</t>
  </si>
  <si>
    <t>cornell2021esg</t>
  </si>
  <si>
    <t>jang2017stock</t>
  </si>
  <si>
    <t>dai2020stock</t>
  </si>
  <si>
    <t>wang2021factor</t>
  </si>
  <si>
    <t>isaenko2020slow</t>
  </si>
  <si>
    <t>gurkaynak2022stock</t>
    <phoneticPr fontId="1" type="noConversion"/>
  </si>
  <si>
    <t>Chicago</t>
    <phoneticPr fontId="1" type="noConversion"/>
  </si>
  <si>
    <t>Do survey expectations of stock returns reflect risk adjustments?</t>
  </si>
  <si>
    <t>Journal of Monetary Economics</t>
  </si>
  <si>
    <t>Adam K, Matveev D, Nagel S</t>
  </si>
  <si>
    <t>University of Oxford,University of Chicago</t>
  </si>
  <si>
    <t>https://www.sciencedirect.com/science/article/pii/S030439322030057X</t>
  </si>
  <si>
    <t>Portfolio analysis in a stable Paretian market</t>
  </si>
  <si>
    <t>Inflation, real returns and capital investment</t>
  </si>
  <si>
    <t>Earnings news, expected earnings, and aggregate stock returns</t>
  </si>
  <si>
    <t>Management Science</t>
  </si>
  <si>
    <t>https://pubsonline.informs.org/doi/abs/10.1287/mnsc.11.3.404</t>
  </si>
  <si>
    <t>Fama E F ,
Fisher L,
Jensen M C ,
Roll R,</t>
  </si>
  <si>
    <t>University  of  Chicago,
University  of  Chicago,
University  of  Chicago,
University  of  Chicago,</t>
  </si>
  <si>
    <t>https://www.jstor.org/stable/2525569</t>
  </si>
  <si>
    <t>Fama E F,
Gibbons M R,</t>
  </si>
  <si>
    <t>University of Chicago,
Stanford University,</t>
  </si>
  <si>
    <t>https://www.sciencedirect.com/science/article/pii/0304393282900216</t>
  </si>
  <si>
    <t>https://www.aeaweb.org/articles?id=10.1257/0895330042162430</t>
  </si>
  <si>
    <t>Journal of Financial Markets</t>
  </si>
  <si>
    <t>Choi J H, 
Kalay A, 
Sadka G,</t>
  </si>
  <si>
    <t>University of Chicago Booth School of Business，
Columbia University，
University of Texas,</t>
  </si>
  <si>
    <t>adam2021survey</t>
  </si>
  <si>
    <t>Dartmouth</t>
    <phoneticPr fontId="1" type="noConversion"/>
  </si>
  <si>
    <t>Fama E F, 
French K R,</t>
    <phoneticPr fontId="1" type="noConversion"/>
  </si>
  <si>
    <t>Fama E F，
French K R,</t>
    <phoneticPr fontId="1" type="noConversion"/>
  </si>
  <si>
    <t>Profitability, investment and average returns</t>
    <phoneticPr fontId="1" type="noConversion"/>
  </si>
  <si>
    <t>The value premium and the capm</t>
  </si>
  <si>
    <t>A five-factor asset pricing model</t>
    <phoneticPr fontId="1" type="noConversion"/>
  </si>
  <si>
    <t>Washiton</t>
    <phoneticPr fontId="1" type="noConversion"/>
  </si>
  <si>
    <t>Social media and firm equity value</t>
  </si>
  <si>
    <t>Information Systems Research</t>
  </si>
  <si>
    <t>Luo X,
Zhang J,
Duan W,</t>
  </si>
  <si>
    <t>Why Do Predicted Stock Issuers Earn Low Returns</t>
  </si>
  <si>
    <t>The Review of Asset Pricing Studies</t>
  </si>
  <si>
    <t>Charles M C Lee, Ken Li</t>
  </si>
  <si>
    <t>https://papers.ssrn.com/sol3/papers.cfm?abstract_id=2870728</t>
  </si>
  <si>
    <t>Information aggregation around macroeconomic announcements: Revisions matter</t>
  </si>
  <si>
    <t>Financial market risk perceptions and the macroeconomy</t>
  </si>
  <si>
    <t>Texas</t>
    <phoneticPr fontId="1" type="noConversion"/>
  </si>
  <si>
    <t>The effect of disclosures by management, analysts, and business press on cost of capital, return volatility, and analyst forecasts: A study using content analysis</t>
  </si>
  <si>
    <t>The Accounting Review</t>
  </si>
  <si>
    <t>Kothari S P, 
Li X, 
Short J E.,</t>
  </si>
  <si>
    <t>Massachusetts Institute of Technology，
The University of Texas at Dallas，
University of California,</t>
  </si>
  <si>
    <t>News Content, Investor Misreaction, and, Stock Return Predictability</t>
  </si>
  <si>
    <t>Working paper</t>
  </si>
  <si>
    <t>Hadzic M, 
Weinbaum D, 
Yehuda N,</t>
  </si>
  <si>
    <t>Syracuse University，
Syracuse University，
University of Texas at Dallas,</t>
  </si>
  <si>
    <t>Aggregate expected investment growth and stock market returns</t>
  </si>
  <si>
    <t>Li J, Wang H, Yu J</t>
  </si>
  <si>
    <t>How important is the financial media in global markets</t>
  </si>
  <si>
    <t>More than words: Quantifying language to measure firms’fundamentals</t>
    <phoneticPr fontId="1" type="noConversion"/>
  </si>
  <si>
    <t>University of Texas at Dallas USA,Auburn Universitym,Tsinghua University China,University of Melbourne Australia</t>
    <phoneticPr fontId="1" type="noConversion"/>
  </si>
  <si>
    <t>Stanford University and University of Washington, McMaster University</t>
    <phoneticPr fontId="1" type="noConversion"/>
  </si>
  <si>
    <t xml:space="preserve">New York </t>
    <phoneticPr fontId="1" type="noConversion"/>
  </si>
  <si>
    <t>Benchmarks as limits to arbitrage: Understanding the low-volatility anomaly</t>
    <phoneticPr fontId="1" type="noConversion"/>
  </si>
  <si>
    <t>Investor sentiment in the stock market</t>
    <phoneticPr fontId="1" type="noConversion"/>
  </si>
  <si>
    <t>News or noise? internet postings and stock prices</t>
  </si>
  <si>
    <t>Size, seasonality, and stock market overreaction</t>
  </si>
  <si>
    <t>Journal of Financial and Quantitative analysis</t>
  </si>
  <si>
    <t>Zarowin P. ,</t>
  </si>
  <si>
    <t>New York Universi,</t>
  </si>
  <si>
    <t>Harvard Business School,
New York University,</t>
  </si>
  <si>
    <t>MIT</t>
    <phoneticPr fontId="1" type="noConversion"/>
  </si>
  <si>
    <t>The wisdom of twitter crowds: Predicting stock market reactions to fomc meetings via twitter feeds.</t>
    <phoneticPr fontId="1" type="noConversion"/>
  </si>
  <si>
    <t>Common stocks as a hedge against inflation</t>
    <phoneticPr fontId="1" type="noConversion"/>
  </si>
  <si>
    <t>What moves stock prices</t>
  </si>
  <si>
    <t>What stock market returns to expect for the future</t>
  </si>
  <si>
    <t>What Stock Market Returns to Expect
for the Future?</t>
  </si>
  <si>
    <t>Soc. Sec. Bull.</t>
  </si>
  <si>
    <t>Diamond P A.,</t>
  </si>
  <si>
    <t>the Massachusetts Institute of
Technology,</t>
  </si>
  <si>
    <t>Predicting stock market indicators through twitter “I hope it is not as bad as I fear”</t>
  </si>
  <si>
    <t>Procedia-Social and Behavioral Sciences</t>
  </si>
  <si>
    <t>Zhang X, 
Fuehres H, 
Gloor P A.,</t>
  </si>
  <si>
    <t>The Wisdom of Twitter Crowds: Predicting Stock Market Reactions to FOMC Meetings via Twitter Feeds</t>
  </si>
  <si>
    <t>Journal of Portfolio Management</t>
  </si>
  <si>
    <t>Azar P, 
Lo A W,</t>
  </si>
  <si>
    <t>MIT,
MIT,</t>
  </si>
  <si>
    <t>National University of Defense Technology，
MIT Center for Collective Intelligence，
MIT Center for Collective Intelligence,</t>
    <phoneticPr fontId="1" type="noConversion"/>
  </si>
  <si>
    <t>pennsy</t>
    <phoneticPr fontId="1" type="noConversion"/>
  </si>
  <si>
    <t>he" fisher effect" for risky assets: An empirical investigation</t>
  </si>
  <si>
    <t>Trading on twitter: Using social media sentiment to predict stock returns</t>
  </si>
  <si>
    <t>Trading on Twitter: Using Social?Media?Sentiment to Predict?Stock?Returns</t>
  </si>
  <si>
    <t>Decision Sciences</t>
  </si>
  <si>
    <t>Sul H K, 
Dennis A R, 
Yuan L I,</t>
  </si>
  <si>
    <t>University of Pennsylvania，
Kelley School of Business Indiana University，
Iowa State University,</t>
  </si>
  <si>
    <t>University  of  Pennsylvania,</t>
    <phoneticPr fontId="1" type="noConversion"/>
  </si>
  <si>
    <t>Northwestern</t>
    <phoneticPr fontId="1" type="noConversion"/>
  </si>
  <si>
    <t>Investor psychology and security market under‐and overreactions</t>
  </si>
  <si>
    <t>Journal of Financeournal of Finance</t>
  </si>
  <si>
    <t>Daniel K, 
Hirshleifer D, 
Subrahmanyam A. ,</t>
  </si>
  <si>
    <t>Northwestern University，
University of Michigan，
University of California,</t>
  </si>
  <si>
    <t>Califorlina</t>
    <phoneticPr fontId="1" type="noConversion"/>
  </si>
  <si>
    <t>Princeton</t>
    <phoneticPr fontId="1" type="noConversion"/>
  </si>
  <si>
    <t xml:space="preserve">Michigan </t>
  </si>
  <si>
    <t>North</t>
    <phoneticPr fontId="1" type="noConversion"/>
  </si>
  <si>
    <t>Investor sentiment and the near-term stock market</t>
    <phoneticPr fontId="1" type="noConversion"/>
  </si>
  <si>
    <t>Journalists and the stock market</t>
  </si>
  <si>
    <t>Sentiment during recessions</t>
    <phoneticPr fontId="1" type="noConversion"/>
  </si>
  <si>
    <t>London</t>
    <phoneticPr fontId="1" type="noConversion"/>
  </si>
  <si>
    <t>Autoregressive conditional heteroscedasticity with estimates of the variance of united kingdom inflation</t>
  </si>
  <si>
    <t>Connected stocks</t>
    <phoneticPr fontId="1" type="noConversion"/>
  </si>
  <si>
    <t>Harvard</t>
    <phoneticPr fontId="1" type="noConversion"/>
  </si>
  <si>
    <t>What moves stock prices?</t>
  </si>
  <si>
    <t>National Bureau of Economic Research</t>
  </si>
  <si>
    <t>Cutler D M, 
Poterba J M, 
Summers L H,</t>
  </si>
  <si>
    <t>M.I.T,
M.I.T,
Harvard University,</t>
  </si>
  <si>
    <t>What moves stock prices?</t>
    <phoneticPr fontId="1" type="noConversion"/>
  </si>
  <si>
    <t>Investor sentiment and the cross-section of stock returns</t>
    <phoneticPr fontId="1" type="noConversion"/>
  </si>
  <si>
    <t>Harvard Business School,
Acadian Asset Management,
New York University,</t>
    <phoneticPr fontId="1" type="noConversion"/>
  </si>
  <si>
    <t>Security prices, risk, and maximal gains from diversification.</t>
  </si>
  <si>
    <t>The small world of investing: Board connections and mutual fund returns</t>
    <phoneticPr fontId="1" type="noConversion"/>
  </si>
  <si>
    <t>Economic links and predictable returns</t>
    <phoneticPr fontId="1" type="noConversion"/>
  </si>
  <si>
    <t>Naval</t>
    <phoneticPr fontId="1" type="noConversion"/>
  </si>
  <si>
    <t>Brownian motion in the stock market</t>
  </si>
  <si>
    <t>Operations research</t>
  </si>
  <si>
    <t>Osborne M F M.,</t>
  </si>
  <si>
    <t>U.S. Naval Research Laboratory,</t>
  </si>
  <si>
    <t>Periodic structure in the Brownian motion of stock prices</t>
  </si>
  <si>
    <t>Notre</t>
    <phoneticPr fontId="1" type="noConversion"/>
  </si>
  <si>
    <t>Information consumption and asset pricing</t>
    <phoneticPr fontId="1" type="noConversion"/>
  </si>
  <si>
    <t>In search of attention.</t>
  </si>
  <si>
    <t>Where do informed traders trade first? option trading activity, news releases, and stock return predictability.</t>
    <phoneticPr fontId="1" type="noConversion"/>
  </si>
  <si>
    <t>European</t>
    <phoneticPr fontId="1" type="noConversion"/>
  </si>
  <si>
    <t>Walking down wall street with a tablet: a survey of stock market predictions using the web</t>
  </si>
  <si>
    <t>Journal of Economic Surveys</t>
  </si>
  <si>
    <t>Nardo M, 
Petracco M, 
Naltsidis M,</t>
  </si>
  <si>
    <t>European Commission – Joint Research Centre，
European Commission – Joint Research Centre，
European Commission – Joint Research Centre,</t>
  </si>
  <si>
    <t>Minnesota</t>
    <phoneticPr fontId="1" type="noConversion"/>
  </si>
  <si>
    <t>Economic significance of predictable variations in stock index returns.</t>
    <phoneticPr fontId="1" type="noConversion"/>
  </si>
  <si>
    <t>Yale</t>
    <phoneticPr fontId="1" type="noConversion"/>
  </si>
  <si>
    <t>已有</t>
    <phoneticPr fontId="1" type="noConversion"/>
  </si>
  <si>
    <t>无</t>
    <phoneticPr fontId="1" type="noConversion"/>
  </si>
  <si>
    <t>Massachusetts Institute of Technology，
The University of Texas at Dallas，
University of California,</t>
    <phoneticPr fontId="1" type="noConversion"/>
  </si>
  <si>
    <t>University of Texas，
University of Texas，
Fetch Technologies,</t>
    <phoneticPr fontId="1" type="noConversion"/>
  </si>
  <si>
    <t>University of Texas at Arlington,
University of Texas at Arlington,
George Washington University,</t>
    <phoneticPr fontId="1" type="noConversion"/>
  </si>
  <si>
    <t>fama2006profitability</t>
  </si>
  <si>
    <t>fama1993common</t>
  </si>
  <si>
    <t>fama1995size</t>
  </si>
  <si>
    <t>pontiff1998book</t>
  </si>
  <si>
    <t>ahern2014importance</t>
  </si>
  <si>
    <t>parsons2020geographic</t>
  </si>
  <si>
    <t>pflueger2020financial</t>
  </si>
  <si>
    <t>Why Do Predicted Stock Issuers Earn Low Returns</t>
    <phoneticPr fontId="1" type="noConversion"/>
  </si>
  <si>
    <t>lee2023predicted</t>
  </si>
  <si>
    <t>kothari2009effect</t>
    <phoneticPr fontId="1" type="noConversion"/>
  </si>
  <si>
    <t>hadzic2015news</t>
  </si>
  <si>
    <t>li2021aggregate</t>
  </si>
  <si>
    <t>zhang2011predicting</t>
  </si>
  <si>
    <t>不是这个学校的</t>
    <phoneticPr fontId="1" type="noConversion"/>
  </si>
  <si>
    <t>cohen2008small</t>
  </si>
  <si>
    <t>cohen2008economic</t>
  </si>
  <si>
    <t>Noise trader risk in financial markets</t>
    <phoneticPr fontId="1" type="noConversion"/>
  </si>
  <si>
    <t>de1990noise</t>
  </si>
  <si>
    <t>barberis2003style</t>
  </si>
  <si>
    <t>cutler1988moves</t>
  </si>
  <si>
    <t>Information consumption and asset pricin</t>
  </si>
  <si>
    <t>campbell1988stock</t>
  </si>
  <si>
    <t>Firm fundamentals and macroeconomic indicators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</si>
</sst>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0"/>
      <color rgb="FF000000"/>
      <name val="Arial Unicode MS"/>
      <family val="2"/>
    </font>
    <font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/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7" fillId="0" borderId="0" xfId="0" applyFont="1" applyAlignment="1">
      <alignment vertical="center"/>
    </xf>
    <xf numFmtId="0" fontId="0" fillId="3" borderId="0" xfId="0" applyFill="1"/>
    <xf numFmtId="0" fontId="8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Fig1ab!$B$1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Fig1ab!$A$2:$A$22</c:f>
              <c:numCache>
                <c:formatCode>General</c:formatCod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Fig1ab!$B$2:$B$22</c:f>
              <c:numCache>
                <c:formatCode>General</c:formatCode>
                <c:ptCount val="21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8</c:v>
                </c:pt>
                <c:pt idx="5">
                  <c:v>5</c:v>
                </c:pt>
                <c:pt idx="6">
                  <c:v>3</c:v>
                </c:pt>
                <c:pt idx="7">
                  <c:v>21</c:v>
                </c:pt>
                <c:pt idx="8">
                  <c:v>4</c:v>
                </c:pt>
                <c:pt idx="9">
                  <c:v>16</c:v>
                </c:pt>
                <c:pt idx="10">
                  <c:v>17</c:v>
                </c:pt>
                <c:pt idx="11">
                  <c:v>28</c:v>
                </c:pt>
                <c:pt idx="12">
                  <c:v>25</c:v>
                </c:pt>
                <c:pt idx="13">
                  <c:v>18</c:v>
                </c:pt>
                <c:pt idx="14">
                  <c:v>19</c:v>
                </c:pt>
                <c:pt idx="15">
                  <c:v>25</c:v>
                </c:pt>
                <c:pt idx="16">
                  <c:v>25</c:v>
                </c:pt>
                <c:pt idx="17">
                  <c:v>21</c:v>
                </c:pt>
                <c:pt idx="18">
                  <c:v>20</c:v>
                </c:pt>
                <c:pt idx="19">
                  <c:v>27</c:v>
                </c:pt>
                <c:pt idx="2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C-475A-BD0A-CAC6DE426913}"/>
            </c:ext>
          </c:extLst>
        </c:ser>
        <c:ser>
          <c:idx val="1"/>
          <c:order val="1"/>
          <c:tx>
            <c:strRef>
              <c:f>Fig1ab!$E$1</c:f>
              <c:strCache>
                <c:ptCount val="1"/>
                <c:pt idx="0">
                  <c:v>Computer Science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Fig1ab!$A$2:$A$22</c:f>
              <c:numCache>
                <c:formatCode>General</c:formatCod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Fig1ab!$E$2:$E$22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11</c:v>
                </c:pt>
                <c:pt idx="7">
                  <c:v>17</c:v>
                </c:pt>
                <c:pt idx="8">
                  <c:v>11</c:v>
                </c:pt>
                <c:pt idx="9">
                  <c:v>17</c:v>
                </c:pt>
                <c:pt idx="10">
                  <c:v>15</c:v>
                </c:pt>
                <c:pt idx="11">
                  <c:v>22</c:v>
                </c:pt>
                <c:pt idx="12">
                  <c:v>15</c:v>
                </c:pt>
                <c:pt idx="13">
                  <c:v>23</c:v>
                </c:pt>
                <c:pt idx="14">
                  <c:v>21</c:v>
                </c:pt>
                <c:pt idx="15">
                  <c:v>20</c:v>
                </c:pt>
                <c:pt idx="16">
                  <c:v>33</c:v>
                </c:pt>
                <c:pt idx="17">
                  <c:v>51</c:v>
                </c:pt>
                <c:pt idx="18">
                  <c:v>46</c:v>
                </c:pt>
                <c:pt idx="19">
                  <c:v>52</c:v>
                </c:pt>
                <c:pt idx="2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C-475A-BD0A-CAC6DE426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77786383"/>
        <c:axId val="177786863"/>
      </c:barChart>
      <c:catAx>
        <c:axId val="17778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7786863"/>
        <c:crosses val="autoZero"/>
        <c:auto val="1"/>
        <c:lblAlgn val="ctr"/>
        <c:lblOffset val="100"/>
        <c:noMultiLvlLbl val="0"/>
      </c:catAx>
      <c:valAx>
        <c:axId val="17778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7786383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r"/>
      <c:layout>
        <c:manualLayout>
          <c:xMode val="edge"/>
          <c:yMode val="edge"/>
          <c:x val="5.3340252171351112E-2"/>
          <c:y val="4.6834960580936405E-2"/>
          <c:w val="0.22672365999423949"/>
          <c:h val="0.13337811613673684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bg2">
                  <a:lumMod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99-498A-A366-1D3A68BE198E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99-498A-A366-1D3A68BE198E}"/>
              </c:ext>
            </c:extLst>
          </c:dPt>
          <c:cat>
            <c:strRef>
              <c:f>(Fig1ab!$B$1,Fig1ab!$E$1)</c:f>
              <c:strCache>
                <c:ptCount val="2"/>
                <c:pt idx="0">
                  <c:v>Finance</c:v>
                </c:pt>
                <c:pt idx="1">
                  <c:v>Computer Science</c:v>
                </c:pt>
              </c:strCache>
            </c:strRef>
          </c:cat>
          <c:val>
            <c:numRef>
              <c:f>(Fig1ab!$B$23,Fig1ab!$E$23)</c:f>
              <c:numCache>
                <c:formatCode>General</c:formatCode>
                <c:ptCount val="2"/>
                <c:pt idx="0">
                  <c:v>308</c:v>
                </c:pt>
                <c:pt idx="1">
                  <c:v>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A-49B8-B8A9-736A807C6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Fig1ab!$B$1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Fig1ab!$A$2:$A$22</c:f>
              <c:numCache>
                <c:formatCode>General</c:formatCod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Fig1ab!$B$2:$B$22</c:f>
              <c:numCache>
                <c:formatCode>General</c:formatCode>
                <c:ptCount val="21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8</c:v>
                </c:pt>
                <c:pt idx="5">
                  <c:v>5</c:v>
                </c:pt>
                <c:pt idx="6">
                  <c:v>3</c:v>
                </c:pt>
                <c:pt idx="7">
                  <c:v>21</c:v>
                </c:pt>
                <c:pt idx="8">
                  <c:v>4</c:v>
                </c:pt>
                <c:pt idx="9">
                  <c:v>16</c:v>
                </c:pt>
                <c:pt idx="10">
                  <c:v>17</c:v>
                </c:pt>
                <c:pt idx="11">
                  <c:v>28</c:v>
                </c:pt>
                <c:pt idx="12">
                  <c:v>25</c:v>
                </c:pt>
                <c:pt idx="13">
                  <c:v>18</c:v>
                </c:pt>
                <c:pt idx="14">
                  <c:v>19</c:v>
                </c:pt>
                <c:pt idx="15">
                  <c:v>25</c:v>
                </c:pt>
                <c:pt idx="16">
                  <c:v>25</c:v>
                </c:pt>
                <c:pt idx="17">
                  <c:v>21</c:v>
                </c:pt>
                <c:pt idx="18">
                  <c:v>20</c:v>
                </c:pt>
                <c:pt idx="19">
                  <c:v>27</c:v>
                </c:pt>
                <c:pt idx="2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3-4579-A18A-5C4C65ABD9EE}"/>
            </c:ext>
          </c:extLst>
        </c:ser>
        <c:ser>
          <c:idx val="1"/>
          <c:order val="1"/>
          <c:tx>
            <c:strRef>
              <c:f>Fig1ab!$E$1</c:f>
              <c:strCache>
                <c:ptCount val="1"/>
                <c:pt idx="0">
                  <c:v>Computer Science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Fig1ab!$A$2:$A$22</c:f>
              <c:numCache>
                <c:formatCode>General</c:formatCod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Fig1ab!$E$2:$E$22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11</c:v>
                </c:pt>
                <c:pt idx="7">
                  <c:v>17</c:v>
                </c:pt>
                <c:pt idx="8">
                  <c:v>11</c:v>
                </c:pt>
                <c:pt idx="9">
                  <c:v>17</c:v>
                </c:pt>
                <c:pt idx="10">
                  <c:v>15</c:v>
                </c:pt>
                <c:pt idx="11">
                  <c:v>22</c:v>
                </c:pt>
                <c:pt idx="12">
                  <c:v>15</c:v>
                </c:pt>
                <c:pt idx="13">
                  <c:v>23</c:v>
                </c:pt>
                <c:pt idx="14">
                  <c:v>21</c:v>
                </c:pt>
                <c:pt idx="15">
                  <c:v>20</c:v>
                </c:pt>
                <c:pt idx="16">
                  <c:v>33</c:v>
                </c:pt>
                <c:pt idx="17">
                  <c:v>51</c:v>
                </c:pt>
                <c:pt idx="18">
                  <c:v>46</c:v>
                </c:pt>
                <c:pt idx="19">
                  <c:v>52</c:v>
                </c:pt>
                <c:pt idx="2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53-4579-A18A-5C4C65ABD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77786383"/>
        <c:axId val="177786863"/>
      </c:barChart>
      <c:catAx>
        <c:axId val="17778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7786863"/>
        <c:crosses val="autoZero"/>
        <c:auto val="1"/>
        <c:lblAlgn val="ctr"/>
        <c:lblOffset val="100"/>
        <c:noMultiLvlLbl val="0"/>
      </c:catAx>
      <c:valAx>
        <c:axId val="17778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7786383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r"/>
      <c:layout>
        <c:manualLayout>
          <c:xMode val="edge"/>
          <c:yMode val="edge"/>
          <c:x val="5.3340252171351112E-2"/>
          <c:y val="4.6834960580936405E-2"/>
          <c:w val="0.22672365999423949"/>
          <c:h val="0.13337811613673684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Fig2tkde!$B$1</c:f>
              <c:strCache>
                <c:ptCount val="1"/>
                <c:pt idx="0">
                  <c:v>Firm fundamentals and macroeconomic indicators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Fig2tkde!$A$2:$A$22</c:f>
              <c:numCache>
                <c:formatCode>General</c:formatCod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Fig2tkde!$B$2:$B$22</c:f>
              <c:numCache>
                <c:formatCode>General</c:formatCode>
                <c:ptCount val="21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9</c:v>
                </c:pt>
                <c:pt idx="5">
                  <c:v>6</c:v>
                </c:pt>
                <c:pt idx="6">
                  <c:v>4</c:v>
                </c:pt>
                <c:pt idx="7">
                  <c:v>6</c:v>
                </c:pt>
                <c:pt idx="8">
                  <c:v>3</c:v>
                </c:pt>
                <c:pt idx="9">
                  <c:v>7</c:v>
                </c:pt>
                <c:pt idx="10">
                  <c:v>11</c:v>
                </c:pt>
                <c:pt idx="11">
                  <c:v>9</c:v>
                </c:pt>
                <c:pt idx="12">
                  <c:v>8</c:v>
                </c:pt>
                <c:pt idx="13">
                  <c:v>23</c:v>
                </c:pt>
                <c:pt idx="14">
                  <c:v>31</c:v>
                </c:pt>
                <c:pt idx="15">
                  <c:v>36</c:v>
                </c:pt>
                <c:pt idx="16">
                  <c:v>38</c:v>
                </c:pt>
                <c:pt idx="17">
                  <c:v>46</c:v>
                </c:pt>
                <c:pt idx="18">
                  <c:v>33</c:v>
                </c:pt>
                <c:pt idx="19">
                  <c:v>38</c:v>
                </c:pt>
                <c:pt idx="2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B-480A-B9BE-78DBAAFDC00C}"/>
            </c:ext>
          </c:extLst>
        </c:ser>
        <c:ser>
          <c:idx val="1"/>
          <c:order val="1"/>
          <c:tx>
            <c:strRef>
              <c:f>Fig2tkde!$C$1</c:f>
              <c:strCache>
                <c:ptCount val="1"/>
                <c:pt idx="0">
                  <c:v>Media information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Fig2tkde!$A$2:$A$22</c:f>
              <c:numCache>
                <c:formatCode>General</c:formatCod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Fig2tkde!$C$2:$C$22</c:f>
              <c:numCache>
                <c:formatCode>General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11</c:v>
                </c:pt>
                <c:pt idx="4">
                  <c:v>5</c:v>
                </c:pt>
                <c:pt idx="5">
                  <c:v>7</c:v>
                </c:pt>
                <c:pt idx="6">
                  <c:v>9</c:v>
                </c:pt>
                <c:pt idx="7">
                  <c:v>31</c:v>
                </c:pt>
                <c:pt idx="8">
                  <c:v>12</c:v>
                </c:pt>
                <c:pt idx="9">
                  <c:v>26</c:v>
                </c:pt>
                <c:pt idx="10">
                  <c:v>21</c:v>
                </c:pt>
                <c:pt idx="11">
                  <c:v>40</c:v>
                </c:pt>
                <c:pt idx="12">
                  <c:v>33</c:v>
                </c:pt>
                <c:pt idx="13">
                  <c:v>18</c:v>
                </c:pt>
                <c:pt idx="14">
                  <c:v>9</c:v>
                </c:pt>
                <c:pt idx="15">
                  <c:v>9</c:v>
                </c:pt>
                <c:pt idx="16">
                  <c:v>20</c:v>
                </c:pt>
                <c:pt idx="17">
                  <c:v>26</c:v>
                </c:pt>
                <c:pt idx="18">
                  <c:v>33</c:v>
                </c:pt>
                <c:pt idx="19">
                  <c:v>30</c:v>
                </c:pt>
                <c:pt idx="2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CB-480A-B9BE-78DBAAFDC00C}"/>
            </c:ext>
          </c:extLst>
        </c:ser>
        <c:ser>
          <c:idx val="2"/>
          <c:order val="2"/>
          <c:tx>
            <c:strRef>
              <c:f>Fig2tkde!$D$1</c:f>
              <c:strCache>
                <c:ptCount val="1"/>
                <c:pt idx="0">
                  <c:v>Statuses of relevant firms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Fig2tkde!$A$2:$A$22</c:f>
              <c:numCache>
                <c:formatCode>General</c:formatCod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Fig2tkde!$D$2:$D$22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4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8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CB-480A-B9BE-78DBAAFDC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25441999"/>
        <c:axId val="177796463"/>
      </c:barChart>
      <c:catAx>
        <c:axId val="32544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7796463"/>
        <c:crosses val="autoZero"/>
        <c:auto val="1"/>
        <c:lblAlgn val="ctr"/>
        <c:lblOffset val="100"/>
        <c:noMultiLvlLbl val="0"/>
      </c:catAx>
      <c:valAx>
        <c:axId val="17779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325441999"/>
        <c:crosses val="autoZero"/>
        <c:crossBetween val="between"/>
      </c:valAx>
      <c:spPr>
        <a:noFill/>
        <a:ln>
          <a:solidFill>
            <a:sysClr val="windowText" lastClr="000000"/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5.4783244353751856E-2"/>
          <c:y val="4.3845442808797354E-2"/>
          <c:w val="0.53814244585872506"/>
          <c:h val="0.23874636474806066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Fig3tkde!$B$1</c:f>
              <c:strCache>
                <c:ptCount val="1"/>
                <c:pt idx="0">
                  <c:v>Econometric models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Fig3tkde!$A$2:$A$22</c:f>
              <c:numCache>
                <c:formatCode>General</c:formatCod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Fig3tkde!$B$2:$B$22</c:f>
              <c:numCache>
                <c:formatCode>General</c:formatCode>
                <c:ptCount val="21"/>
                <c:pt idx="0">
                  <c:v>3</c:v>
                </c:pt>
                <c:pt idx="1">
                  <c:v>0</c:v>
                </c:pt>
                <c:pt idx="2">
                  <c:v>6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3</c:v>
                </c:pt>
                <c:pt idx="7">
                  <c:v>22</c:v>
                </c:pt>
                <c:pt idx="8">
                  <c:v>5</c:v>
                </c:pt>
                <c:pt idx="9">
                  <c:v>16</c:v>
                </c:pt>
                <c:pt idx="10">
                  <c:v>18</c:v>
                </c:pt>
                <c:pt idx="11">
                  <c:v>29</c:v>
                </c:pt>
                <c:pt idx="12">
                  <c:v>25</c:v>
                </c:pt>
                <c:pt idx="13">
                  <c:v>19</c:v>
                </c:pt>
                <c:pt idx="14">
                  <c:v>21</c:v>
                </c:pt>
                <c:pt idx="15">
                  <c:v>25</c:v>
                </c:pt>
                <c:pt idx="16">
                  <c:v>25</c:v>
                </c:pt>
                <c:pt idx="17">
                  <c:v>21</c:v>
                </c:pt>
                <c:pt idx="18">
                  <c:v>20</c:v>
                </c:pt>
                <c:pt idx="19">
                  <c:v>27</c:v>
                </c:pt>
                <c:pt idx="2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7-4128-867A-6CEA7B285A05}"/>
            </c:ext>
          </c:extLst>
        </c:ser>
        <c:ser>
          <c:idx val="1"/>
          <c:order val="1"/>
          <c:tx>
            <c:strRef>
              <c:f>Fig3tkde!$C$1</c:f>
              <c:strCache>
                <c:ptCount val="1"/>
                <c:pt idx="0">
                  <c:v>Machine learning-based models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Fig3tkde!$A$2:$A$22</c:f>
              <c:numCache>
                <c:formatCode>General</c:formatCod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Fig3tkde!$C$2:$C$22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11</c:v>
                </c:pt>
                <c:pt idx="7">
                  <c:v>16</c:v>
                </c:pt>
                <c:pt idx="8">
                  <c:v>11</c:v>
                </c:pt>
                <c:pt idx="9">
                  <c:v>14</c:v>
                </c:pt>
                <c:pt idx="10">
                  <c:v>14</c:v>
                </c:pt>
                <c:pt idx="11">
                  <c:v>18</c:v>
                </c:pt>
                <c:pt idx="12">
                  <c:v>13</c:v>
                </c:pt>
                <c:pt idx="13">
                  <c:v>8</c:v>
                </c:pt>
                <c:pt idx="14">
                  <c:v>12</c:v>
                </c:pt>
                <c:pt idx="15">
                  <c:v>9</c:v>
                </c:pt>
                <c:pt idx="16">
                  <c:v>8</c:v>
                </c:pt>
                <c:pt idx="17">
                  <c:v>8</c:v>
                </c:pt>
                <c:pt idx="18">
                  <c:v>6</c:v>
                </c:pt>
                <c:pt idx="19">
                  <c:v>10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7-4128-867A-6CEA7B285A05}"/>
            </c:ext>
          </c:extLst>
        </c:ser>
        <c:ser>
          <c:idx val="2"/>
          <c:order val="2"/>
          <c:tx>
            <c:strRef>
              <c:f>Fig3tkde!$D$1</c:f>
              <c:strCache>
                <c:ptCount val="1"/>
                <c:pt idx="0">
                  <c:v>Deep learining-based models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Fig3tkde!$A$2:$A$22</c:f>
              <c:numCache>
                <c:formatCode>General</c:formatCod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Fig3tkde!$D$2:$D$22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4</c:v>
                </c:pt>
                <c:pt idx="12">
                  <c:v>2</c:v>
                </c:pt>
                <c:pt idx="13">
                  <c:v>12</c:v>
                </c:pt>
                <c:pt idx="14">
                  <c:v>9</c:v>
                </c:pt>
                <c:pt idx="15">
                  <c:v>10</c:v>
                </c:pt>
                <c:pt idx="16">
                  <c:v>22</c:v>
                </c:pt>
                <c:pt idx="17">
                  <c:v>42</c:v>
                </c:pt>
                <c:pt idx="18">
                  <c:v>38</c:v>
                </c:pt>
                <c:pt idx="19">
                  <c:v>42</c:v>
                </c:pt>
                <c:pt idx="2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7-4128-867A-6CEA7B285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25441999"/>
        <c:axId val="177796463"/>
      </c:barChart>
      <c:catAx>
        <c:axId val="32544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7796463"/>
        <c:crosses val="autoZero"/>
        <c:auto val="1"/>
        <c:lblAlgn val="ctr"/>
        <c:lblOffset val="100"/>
        <c:noMultiLvlLbl val="0"/>
      </c:catAx>
      <c:valAx>
        <c:axId val="17779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325441999"/>
        <c:crosses val="autoZero"/>
        <c:crossBetween val="between"/>
      </c:valAx>
      <c:spPr>
        <a:noFill/>
        <a:ln>
          <a:solidFill>
            <a:sysClr val="windowText" lastClr="000000"/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3.7463495616896922E-2"/>
          <c:y val="4.3916291184431772E-2"/>
          <c:w val="0.27340030414939992"/>
          <c:h val="0.22532844703637162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299770</xdr:colOff>
      <xdr:row>4</xdr:row>
      <xdr:rowOff>101166</xdr:rowOff>
    </xdr:from>
    <xdr:to>
      <xdr:col>20</xdr:col>
      <xdr:colOff>195703</xdr:colOff>
      <xdr:row>21</xdr:row>
      <xdr:rowOff>126332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5197B48-62B4-1485-B61F-9E7AAF195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494974</xdr:colOff>
      <xdr:row>22</xdr:row>
      <xdr:rowOff>156309</xdr:rowOff>
    </xdr:from>
    <xdr:to>
      <xdr:col>16</xdr:col>
      <xdr:colOff>534052</xdr:colOff>
      <xdr:row>40</xdr:row>
      <xdr:rowOff>158750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FC0778B-0A02-32CD-740C-077AF69141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5</xdr:col>
      <xdr:colOff>300430</xdr:colOff>
      <xdr:row>7</xdr:row>
      <xdr:rowOff>116076</xdr:rowOff>
    </xdr:from>
    <xdr:ext cx="184731" cy="264560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3B07D06A-F4BA-64AE-A45B-EBAA6990BA63}"/>
            </a:ext>
          </a:extLst>
        </xdr:cNvPr>
        <xdr:cNvSpPr txBox="1"/>
      </xdr:nvSpPr>
      <xdr:spPr>
        <a:xfrm>
          <a:off x="4506452" y="10037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</xdr:col>
      <xdr:colOff>225322</xdr:colOff>
      <xdr:row>26</xdr:row>
      <xdr:rowOff>81935</xdr:rowOff>
    </xdr:from>
    <xdr:ext cx="5211683" cy="1672253"/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5BE23466-6C0C-46BA-F035-95B98D04C11C}"/>
            </a:ext>
          </a:extLst>
        </xdr:cNvPr>
        <xdr:cNvSpPr txBox="1"/>
      </xdr:nvSpPr>
      <xdr:spPr>
        <a:xfrm>
          <a:off x="1550539" y="4145935"/>
          <a:ext cx="5211683" cy="167225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图中所有字：</a:t>
          </a:r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r>
            <a:rPr lang="en-US" altLang="zh-CN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1. </a:t>
          </a:r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用</a:t>
          </a:r>
          <a:r>
            <a:rPr lang="en-US" altLang="zh-CN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times</a:t>
          </a:r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字体</a:t>
          </a:r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r>
            <a:rPr lang="en-US" altLang="zh-CN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2. </a:t>
          </a:r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用黑色</a:t>
          </a:r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r>
            <a:rPr lang="en-US" altLang="zh-CN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3. </a:t>
          </a:r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大小根据情况调整，把图放进正文，字不要比正文小太多即可</a:t>
          </a:r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图片不要用彩色，用浅灰</a:t>
          </a:r>
          <a:r>
            <a:rPr lang="en-US" altLang="zh-CN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+</a:t>
          </a:r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深灰</a:t>
          </a:r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endParaRPr lang="zh-CN" altLang="en-US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5</xdr:col>
      <xdr:colOff>646651</xdr:colOff>
      <xdr:row>57</xdr:row>
      <xdr:rowOff>0</xdr:rowOff>
    </xdr:from>
    <xdr:to>
      <xdr:col>14</xdr:col>
      <xdr:colOff>542585</xdr:colOff>
      <xdr:row>74</xdr:row>
      <xdr:rowOff>25165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C01CA654-732A-4916-B92B-55BB9C5F5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577139</xdr:colOff>
      <xdr:row>11</xdr:row>
      <xdr:rowOff>41983</xdr:rowOff>
    </xdr:from>
    <xdr:to>
      <xdr:col>16</xdr:col>
      <xdr:colOff>423333</xdr:colOff>
      <xdr:row>36</xdr:row>
      <xdr:rowOff>52916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8AF7A06-8E41-4301-A448-BE53493B5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361802</xdr:colOff>
      <xdr:row>30</xdr:row>
      <xdr:rowOff>121092</xdr:rowOff>
    </xdr:from>
    <xdr:ext cx="5211683" cy="1878719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9A99957B-218F-4D96-A458-BBC90F5087CC}"/>
            </a:ext>
          </a:extLst>
        </xdr:cNvPr>
        <xdr:cNvSpPr txBox="1"/>
      </xdr:nvSpPr>
      <xdr:spPr>
        <a:xfrm>
          <a:off x="973174" y="5082952"/>
          <a:ext cx="5211683" cy="187871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图中所有字：</a:t>
          </a:r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r>
            <a:rPr lang="en-US" altLang="zh-CN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1. </a:t>
          </a:r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用</a:t>
          </a:r>
          <a:r>
            <a:rPr lang="en-US" altLang="zh-CN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times</a:t>
          </a:r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字体</a:t>
          </a:r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r>
            <a:rPr lang="en-US" altLang="zh-CN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2. </a:t>
          </a:r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用黑色</a:t>
          </a:r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r>
            <a:rPr lang="en-US" altLang="zh-CN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3. </a:t>
          </a:r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大小根据情况调整，把图放进正文，字不要比正文小太多即可</a:t>
          </a:r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图片不要用彩色，用左斜线</a:t>
          </a:r>
          <a:r>
            <a:rPr lang="en-US" altLang="zh-CN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+</a:t>
          </a:r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空白</a:t>
          </a:r>
          <a:r>
            <a:rPr lang="en-US" altLang="zh-CN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+</a:t>
          </a:r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右斜线</a:t>
          </a:r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endParaRPr lang="zh-CN" altLang="en-US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125338</xdr:colOff>
      <xdr:row>26</xdr:row>
      <xdr:rowOff>140542</xdr:rowOff>
    </xdr:from>
    <xdr:to>
      <xdr:col>17</xdr:col>
      <xdr:colOff>493354</xdr:colOff>
      <xdr:row>44</xdr:row>
      <xdr:rowOff>61638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0DEABB9-1987-F08F-A1E9-F6D9AB671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423333</xdr:colOff>
      <xdr:row>26</xdr:row>
      <xdr:rowOff>29195</xdr:rowOff>
    </xdr:from>
    <xdr:ext cx="5211683" cy="1878719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2FFDC5BC-21FD-4BD3-AC0F-E4D144BDD02C}"/>
            </a:ext>
          </a:extLst>
        </xdr:cNvPr>
        <xdr:cNvSpPr txBox="1"/>
      </xdr:nvSpPr>
      <xdr:spPr>
        <a:xfrm>
          <a:off x="423333" y="4233333"/>
          <a:ext cx="5211683" cy="187871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图中所有字：</a:t>
          </a:r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r>
            <a:rPr lang="en-US" altLang="zh-CN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1. </a:t>
          </a:r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用</a:t>
          </a:r>
          <a:r>
            <a:rPr lang="en-US" altLang="zh-CN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times</a:t>
          </a:r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字体</a:t>
          </a:r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r>
            <a:rPr lang="en-US" altLang="zh-CN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2. </a:t>
          </a:r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用黑色</a:t>
          </a:r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r>
            <a:rPr lang="en-US" altLang="zh-CN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3. </a:t>
          </a:r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大小根据情况调整，把图放进正文，字不要比正文小太多即可</a:t>
          </a:r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图片不要用彩色，用左斜线</a:t>
          </a:r>
          <a:r>
            <a:rPr lang="en-US" altLang="zh-CN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+</a:t>
          </a:r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空白</a:t>
          </a:r>
          <a:r>
            <a:rPr lang="en-US" altLang="zh-CN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+</a:t>
          </a:r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右斜线</a:t>
          </a:r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endParaRPr lang="zh-CN" altLang="en-US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2</xdr:col>
      <xdr:colOff>0</xdr:colOff>
      <xdr:row>39</xdr:row>
      <xdr:rowOff>0</xdr:rowOff>
    </xdr:from>
    <xdr:to>
      <xdr:col>11</xdr:col>
      <xdr:colOff>181760</xdr:colOff>
      <xdr:row>56</xdr:row>
      <xdr:rowOff>109716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C1967E7-2004-3814-07CE-21BB54573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3042" y="6937184"/>
          <a:ext cx="8163252" cy="31336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opLeftCell="A4" zoomScale="109" zoomScaleNormal="109" workbookViewId="0">
      <selection activeCell="E21" sqref="E21"/>
    </sheetView>
  </sheetViews>
  <sheetFormatPr defaultRowHeight="13.9"/>
  <cols>
    <col min="5" max="5" width="20.46484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>
        <v>2004</v>
      </c>
      <c r="B2">
        <v>3</v>
      </c>
      <c r="C2">
        <v>0</v>
      </c>
      <c r="D2">
        <v>0</v>
      </c>
      <c r="E2">
        <v>0</v>
      </c>
      <c r="G2">
        <v>0</v>
      </c>
      <c r="H2">
        <v>2004</v>
      </c>
      <c r="I2">
        <v>3</v>
      </c>
      <c r="J2">
        <v>0</v>
      </c>
    </row>
    <row r="3" spans="1:10">
      <c r="A3">
        <v>2005</v>
      </c>
      <c r="B3">
        <v>1</v>
      </c>
      <c r="C3">
        <v>4</v>
      </c>
      <c r="D3">
        <v>0</v>
      </c>
      <c r="E3">
        <v>4</v>
      </c>
      <c r="G3">
        <v>1</v>
      </c>
      <c r="H3">
        <v>2005</v>
      </c>
      <c r="I3">
        <v>0</v>
      </c>
      <c r="J3">
        <v>4</v>
      </c>
    </row>
    <row r="4" spans="1:10">
      <c r="A4">
        <v>2006</v>
      </c>
      <c r="B4">
        <v>4</v>
      </c>
      <c r="C4">
        <v>1</v>
      </c>
      <c r="E4">
        <f t="shared" ref="E4:E21" si="0">SUM(C4:D4)</f>
        <v>1</v>
      </c>
      <c r="G4">
        <v>2</v>
      </c>
      <c r="H4">
        <v>2006</v>
      </c>
      <c r="I4">
        <v>6</v>
      </c>
      <c r="J4">
        <v>1</v>
      </c>
    </row>
    <row r="5" spans="1:10">
      <c r="A5">
        <v>2007</v>
      </c>
      <c r="B5">
        <v>9</v>
      </c>
      <c r="C5">
        <v>5</v>
      </c>
      <c r="E5">
        <f t="shared" si="0"/>
        <v>5</v>
      </c>
      <c r="G5">
        <v>3</v>
      </c>
      <c r="H5">
        <v>2007</v>
      </c>
      <c r="I5">
        <v>9</v>
      </c>
      <c r="J5">
        <v>5</v>
      </c>
    </row>
    <row r="6" spans="1:10">
      <c r="A6">
        <v>2008</v>
      </c>
      <c r="B6">
        <v>8</v>
      </c>
      <c r="C6">
        <v>6</v>
      </c>
      <c r="E6">
        <f t="shared" si="0"/>
        <v>6</v>
      </c>
      <c r="G6">
        <v>4</v>
      </c>
      <c r="H6">
        <v>2008</v>
      </c>
      <c r="I6">
        <v>9</v>
      </c>
      <c r="J6">
        <v>6</v>
      </c>
    </row>
    <row r="7" spans="1:10">
      <c r="A7">
        <v>2009</v>
      </c>
      <c r="B7">
        <v>5</v>
      </c>
      <c r="C7">
        <v>9</v>
      </c>
      <c r="E7">
        <f t="shared" si="0"/>
        <v>9</v>
      </c>
      <c r="G7">
        <v>5</v>
      </c>
      <c r="H7">
        <v>2009</v>
      </c>
      <c r="I7">
        <v>5</v>
      </c>
      <c r="J7">
        <v>9</v>
      </c>
    </row>
    <row r="8" spans="1:10">
      <c r="A8">
        <v>2010</v>
      </c>
      <c r="B8">
        <v>3</v>
      </c>
      <c r="C8">
        <v>11</v>
      </c>
      <c r="E8">
        <f t="shared" si="0"/>
        <v>11</v>
      </c>
      <c r="G8">
        <v>6</v>
      </c>
      <c r="H8">
        <v>2010</v>
      </c>
      <c r="I8">
        <v>3</v>
      </c>
      <c r="J8">
        <v>11</v>
      </c>
    </row>
    <row r="9" spans="1:10">
      <c r="A9">
        <v>2011</v>
      </c>
      <c r="B9">
        <v>21</v>
      </c>
      <c r="C9">
        <v>16</v>
      </c>
      <c r="D9">
        <v>1</v>
      </c>
      <c r="E9">
        <f t="shared" si="0"/>
        <v>17</v>
      </c>
      <c r="G9">
        <v>7</v>
      </c>
      <c r="H9">
        <v>2011</v>
      </c>
      <c r="I9">
        <v>22</v>
      </c>
      <c r="J9">
        <v>16</v>
      </c>
    </row>
    <row r="10" spans="1:10">
      <c r="A10">
        <v>2012</v>
      </c>
      <c r="B10">
        <v>4</v>
      </c>
      <c r="C10">
        <v>11</v>
      </c>
      <c r="D10">
        <v>0</v>
      </c>
      <c r="E10">
        <f t="shared" si="0"/>
        <v>11</v>
      </c>
      <c r="G10">
        <v>8</v>
      </c>
      <c r="H10">
        <v>2012</v>
      </c>
      <c r="I10">
        <v>5</v>
      </c>
      <c r="J10">
        <v>11</v>
      </c>
    </row>
    <row r="11" spans="1:10">
      <c r="A11">
        <v>2013</v>
      </c>
      <c r="B11">
        <v>16</v>
      </c>
      <c r="C11">
        <v>16</v>
      </c>
      <c r="D11">
        <v>1</v>
      </c>
      <c r="E11">
        <f t="shared" si="0"/>
        <v>17</v>
      </c>
      <c r="G11">
        <v>9</v>
      </c>
      <c r="H11">
        <v>2013</v>
      </c>
      <c r="I11">
        <v>16</v>
      </c>
      <c r="J11">
        <v>15</v>
      </c>
    </row>
    <row r="12" spans="1:10">
      <c r="A12">
        <v>2014</v>
      </c>
      <c r="B12">
        <v>17</v>
      </c>
      <c r="C12">
        <v>14</v>
      </c>
      <c r="D12">
        <v>1</v>
      </c>
      <c r="E12">
        <f t="shared" si="0"/>
        <v>15</v>
      </c>
      <c r="G12">
        <v>10</v>
      </c>
      <c r="H12">
        <v>2014</v>
      </c>
      <c r="I12">
        <v>18</v>
      </c>
      <c r="J12">
        <v>15</v>
      </c>
    </row>
    <row r="13" spans="1:10">
      <c r="A13">
        <v>2015</v>
      </c>
      <c r="B13">
        <v>28</v>
      </c>
      <c r="C13">
        <v>18</v>
      </c>
      <c r="D13">
        <v>4</v>
      </c>
      <c r="E13">
        <f t="shared" si="0"/>
        <v>22</v>
      </c>
      <c r="G13">
        <v>11</v>
      </c>
      <c r="H13">
        <v>2015</v>
      </c>
      <c r="I13">
        <v>29</v>
      </c>
      <c r="J13">
        <v>22</v>
      </c>
    </row>
    <row r="14" spans="1:10">
      <c r="A14">
        <v>2016</v>
      </c>
      <c r="B14">
        <v>25</v>
      </c>
      <c r="C14">
        <v>13</v>
      </c>
      <c r="D14">
        <v>2</v>
      </c>
      <c r="E14">
        <f t="shared" si="0"/>
        <v>15</v>
      </c>
      <c r="G14">
        <v>12</v>
      </c>
      <c r="H14">
        <v>2016</v>
      </c>
      <c r="I14">
        <v>25</v>
      </c>
      <c r="J14">
        <v>15</v>
      </c>
    </row>
    <row r="15" spans="1:10">
      <c r="A15">
        <v>2017</v>
      </c>
      <c r="B15">
        <v>18</v>
      </c>
      <c r="C15">
        <v>13</v>
      </c>
      <c r="D15">
        <v>10</v>
      </c>
      <c r="E15">
        <f t="shared" si="0"/>
        <v>23</v>
      </c>
      <c r="G15">
        <v>13</v>
      </c>
      <c r="H15">
        <v>2017</v>
      </c>
      <c r="I15">
        <v>19</v>
      </c>
      <c r="J15">
        <v>20</v>
      </c>
    </row>
    <row r="16" spans="1:10">
      <c r="A16">
        <v>2018</v>
      </c>
      <c r="B16">
        <v>19</v>
      </c>
      <c r="C16">
        <v>13</v>
      </c>
      <c r="D16">
        <v>8</v>
      </c>
      <c r="E16">
        <f t="shared" si="0"/>
        <v>21</v>
      </c>
      <c r="G16">
        <v>14</v>
      </c>
      <c r="H16">
        <v>2018</v>
      </c>
      <c r="I16">
        <v>21</v>
      </c>
      <c r="J16">
        <v>21</v>
      </c>
    </row>
    <row r="17" spans="1:10">
      <c r="A17">
        <v>2019</v>
      </c>
      <c r="B17">
        <v>25</v>
      </c>
      <c r="C17">
        <v>11</v>
      </c>
      <c r="D17">
        <v>9</v>
      </c>
      <c r="E17">
        <f t="shared" si="0"/>
        <v>20</v>
      </c>
      <c r="G17">
        <v>15</v>
      </c>
      <c r="H17">
        <v>2019</v>
      </c>
      <c r="I17">
        <v>25</v>
      </c>
      <c r="J17">
        <v>19</v>
      </c>
    </row>
    <row r="18" spans="1:10">
      <c r="A18">
        <v>2020</v>
      </c>
      <c r="B18">
        <v>25</v>
      </c>
      <c r="C18">
        <v>10</v>
      </c>
      <c r="D18">
        <v>23</v>
      </c>
      <c r="E18">
        <f t="shared" si="0"/>
        <v>33</v>
      </c>
      <c r="G18">
        <v>16</v>
      </c>
      <c r="H18">
        <v>2020</v>
      </c>
      <c r="I18">
        <v>25</v>
      </c>
      <c r="J18">
        <v>30</v>
      </c>
    </row>
    <row r="19" spans="1:10">
      <c r="A19">
        <v>2021</v>
      </c>
      <c r="B19">
        <v>21</v>
      </c>
      <c r="C19">
        <v>8</v>
      </c>
      <c r="D19">
        <v>43</v>
      </c>
      <c r="E19">
        <f t="shared" si="0"/>
        <v>51</v>
      </c>
      <c r="G19">
        <v>17</v>
      </c>
      <c r="H19">
        <v>2021</v>
      </c>
      <c r="I19">
        <v>21</v>
      </c>
      <c r="J19">
        <v>50</v>
      </c>
    </row>
    <row r="20" spans="1:10">
      <c r="A20">
        <v>2022</v>
      </c>
      <c r="B20">
        <v>20</v>
      </c>
      <c r="C20">
        <v>6</v>
      </c>
      <c r="D20">
        <v>40</v>
      </c>
      <c r="E20">
        <f t="shared" si="0"/>
        <v>46</v>
      </c>
      <c r="G20">
        <v>18</v>
      </c>
      <c r="H20">
        <v>2022</v>
      </c>
      <c r="I20">
        <v>20</v>
      </c>
      <c r="J20">
        <v>44</v>
      </c>
    </row>
    <row r="21" spans="1:10">
      <c r="A21">
        <v>2023</v>
      </c>
      <c r="B21">
        <v>27</v>
      </c>
      <c r="C21">
        <v>9</v>
      </c>
      <c r="D21">
        <v>13</v>
      </c>
      <c r="E21">
        <v>52</v>
      </c>
      <c r="G21">
        <v>19</v>
      </c>
      <c r="H21">
        <v>2023</v>
      </c>
      <c r="I21">
        <v>27</v>
      </c>
      <c r="J21">
        <v>38</v>
      </c>
    </row>
    <row r="22" spans="1:10">
      <c r="A22">
        <v>2024</v>
      </c>
      <c r="B22">
        <v>9</v>
      </c>
      <c r="E22">
        <v>20</v>
      </c>
      <c r="G22">
        <v>20</v>
      </c>
      <c r="H22">
        <v>2024</v>
      </c>
      <c r="I22">
        <v>9</v>
      </c>
      <c r="J22">
        <v>20</v>
      </c>
    </row>
    <row r="23" spans="1:10">
      <c r="A23" t="s">
        <v>5</v>
      </c>
      <c r="B23">
        <f>SUM(B2:B22)</f>
        <v>308</v>
      </c>
      <c r="C23">
        <f>SUM(C2:C21)</f>
        <v>194</v>
      </c>
      <c r="D23">
        <f>SUM(D2:D21)</f>
        <v>155</v>
      </c>
      <c r="E23">
        <f>SUM(E2:E22)</f>
        <v>399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1FCF2-248D-4AE1-B672-6B2DAC18B64E}">
  <dimension ref="A1:D25"/>
  <sheetViews>
    <sheetView topLeftCell="C16" zoomScale="81" zoomScaleNormal="81" workbookViewId="0">
      <selection activeCell="C28" sqref="C28"/>
    </sheetView>
  </sheetViews>
  <sheetFormatPr defaultRowHeight="13.9"/>
  <cols>
    <col min="2" max="2" width="39.6640625" customWidth="1"/>
    <col min="3" max="3" width="16.46484375" customWidth="1"/>
    <col min="4" max="4" width="22.46484375" customWidth="1"/>
  </cols>
  <sheetData>
    <row r="1" spans="1:4">
      <c r="A1" t="s">
        <v>0</v>
      </c>
      <c r="B1" t="s">
        <v>739</v>
      </c>
      <c r="C1" t="s">
        <v>8</v>
      </c>
      <c r="D1" t="s">
        <v>9</v>
      </c>
    </row>
    <row r="2" spans="1:4">
      <c r="A2">
        <v>2004</v>
      </c>
      <c r="B2">
        <v>1</v>
      </c>
      <c r="C2">
        <v>2</v>
      </c>
      <c r="D2">
        <v>0</v>
      </c>
    </row>
    <row r="3" spans="1:4">
      <c r="A3">
        <v>2005</v>
      </c>
      <c r="B3">
        <v>4</v>
      </c>
      <c r="C3">
        <v>0</v>
      </c>
      <c r="D3">
        <v>0</v>
      </c>
    </row>
    <row r="4" spans="1:4">
      <c r="A4">
        <v>2006</v>
      </c>
      <c r="B4">
        <v>3</v>
      </c>
      <c r="C4">
        <v>2</v>
      </c>
    </row>
    <row r="5" spans="1:4">
      <c r="A5">
        <v>2007</v>
      </c>
      <c r="B5">
        <v>3</v>
      </c>
      <c r="C5">
        <v>11</v>
      </c>
    </row>
    <row r="6" spans="1:4">
      <c r="A6">
        <v>2008</v>
      </c>
      <c r="B6">
        <v>9</v>
      </c>
      <c r="C6">
        <v>5</v>
      </c>
      <c r="D6">
        <v>1</v>
      </c>
    </row>
    <row r="7" spans="1:4">
      <c r="A7">
        <v>2009</v>
      </c>
      <c r="B7">
        <v>6</v>
      </c>
      <c r="C7">
        <v>7</v>
      </c>
    </row>
    <row r="8" spans="1:4">
      <c r="A8">
        <v>2010</v>
      </c>
      <c r="B8">
        <v>4</v>
      </c>
      <c r="C8">
        <v>9</v>
      </c>
    </row>
    <row r="9" spans="1:4">
      <c r="A9">
        <v>2011</v>
      </c>
      <c r="B9">
        <v>6</v>
      </c>
      <c r="C9">
        <v>31</v>
      </c>
    </row>
    <row r="10" spans="1:4">
      <c r="A10">
        <v>2012</v>
      </c>
      <c r="B10">
        <v>3</v>
      </c>
      <c r="C10">
        <v>12</v>
      </c>
    </row>
    <row r="11" spans="1:4">
      <c r="A11">
        <v>2013</v>
      </c>
      <c r="B11">
        <v>7</v>
      </c>
      <c r="C11">
        <v>26</v>
      </c>
      <c r="D11">
        <v>1</v>
      </c>
    </row>
    <row r="12" spans="1:4">
      <c r="A12">
        <v>2014</v>
      </c>
      <c r="B12">
        <v>11</v>
      </c>
      <c r="C12">
        <v>21</v>
      </c>
      <c r="D12">
        <v>1</v>
      </c>
    </row>
    <row r="13" spans="1:4">
      <c r="A13">
        <v>2015</v>
      </c>
      <c r="B13">
        <v>9</v>
      </c>
      <c r="C13">
        <v>40</v>
      </c>
      <c r="D13">
        <v>1</v>
      </c>
    </row>
    <row r="14" spans="1:4">
      <c r="A14">
        <v>2016</v>
      </c>
      <c r="B14">
        <v>8</v>
      </c>
      <c r="C14">
        <v>33</v>
      </c>
      <c r="D14">
        <v>1</v>
      </c>
    </row>
    <row r="15" spans="1:4">
      <c r="A15">
        <v>2017</v>
      </c>
      <c r="B15">
        <v>23</v>
      </c>
      <c r="C15">
        <v>18</v>
      </c>
    </row>
    <row r="16" spans="1:4">
      <c r="A16">
        <v>2018</v>
      </c>
      <c r="B16">
        <v>31</v>
      </c>
      <c r="C16">
        <v>9</v>
      </c>
      <c r="D16">
        <v>1</v>
      </c>
    </row>
    <row r="17" spans="1:4">
      <c r="A17">
        <v>2019</v>
      </c>
      <c r="B17">
        <v>36</v>
      </c>
      <c r="C17">
        <v>9</v>
      </c>
      <c r="D17">
        <v>3</v>
      </c>
    </row>
    <row r="18" spans="1:4">
      <c r="A18">
        <v>2020</v>
      </c>
      <c r="B18">
        <v>38</v>
      </c>
      <c r="C18">
        <v>20</v>
      </c>
    </row>
    <row r="19" spans="1:4">
      <c r="A19">
        <v>2021</v>
      </c>
      <c r="B19">
        <v>46</v>
      </c>
      <c r="C19">
        <v>26</v>
      </c>
      <c r="D19">
        <v>3</v>
      </c>
    </row>
    <row r="20" spans="1:4">
      <c r="A20">
        <v>2022</v>
      </c>
      <c r="B20">
        <v>33</v>
      </c>
      <c r="C20">
        <v>33</v>
      </c>
      <c r="D20">
        <v>2</v>
      </c>
    </row>
    <row r="21" spans="1:4">
      <c r="A21">
        <v>2023</v>
      </c>
      <c r="B21">
        <v>38</v>
      </c>
      <c r="C21">
        <v>30</v>
      </c>
      <c r="D21">
        <v>8</v>
      </c>
    </row>
    <row r="22" spans="1:4">
      <c r="A22">
        <v>2024</v>
      </c>
      <c r="B22">
        <v>18</v>
      </c>
      <c r="C22">
        <v>8</v>
      </c>
      <c r="D22">
        <v>4</v>
      </c>
    </row>
    <row r="24" spans="1:4">
      <c r="C24">
        <v>53</v>
      </c>
    </row>
    <row r="25" spans="1:4">
      <c r="C25">
        <v>42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F5E74-45A8-4E2B-916A-0974F9920069}">
  <dimension ref="A1:L22"/>
  <sheetViews>
    <sheetView tabSelected="1" topLeftCell="A31" zoomScale="83" zoomScaleNormal="83" workbookViewId="0">
      <selection activeCell="C40" sqref="C40"/>
    </sheetView>
  </sheetViews>
  <sheetFormatPr defaultRowHeight="13.9"/>
  <cols>
    <col min="2" max="2" width="20.6640625" customWidth="1"/>
    <col min="3" max="3" width="39.1328125" customWidth="1"/>
  </cols>
  <sheetData>
    <row r="1" spans="1:12">
      <c r="A1" t="s">
        <v>0</v>
      </c>
      <c r="B1" t="s">
        <v>6</v>
      </c>
      <c r="C1" t="s">
        <v>10</v>
      </c>
      <c r="D1" t="s">
        <v>7</v>
      </c>
    </row>
    <row r="2" spans="1:12">
      <c r="A2">
        <v>2004</v>
      </c>
      <c r="B2">
        <v>3</v>
      </c>
      <c r="C2">
        <v>0</v>
      </c>
      <c r="D2">
        <v>0</v>
      </c>
      <c r="H2">
        <v>0</v>
      </c>
      <c r="I2">
        <v>2004</v>
      </c>
      <c r="J2">
        <v>0</v>
      </c>
      <c r="K2">
        <v>3</v>
      </c>
      <c r="L2">
        <v>0</v>
      </c>
    </row>
    <row r="3" spans="1:12">
      <c r="A3">
        <v>2005</v>
      </c>
      <c r="B3">
        <v>0</v>
      </c>
      <c r="C3">
        <v>4</v>
      </c>
      <c r="D3">
        <v>0</v>
      </c>
      <c r="H3">
        <v>1</v>
      </c>
      <c r="I3">
        <v>2005</v>
      </c>
      <c r="J3">
        <v>4</v>
      </c>
      <c r="K3">
        <v>0</v>
      </c>
      <c r="L3">
        <v>0</v>
      </c>
    </row>
    <row r="4" spans="1:12">
      <c r="A4" s="1">
        <v>2006</v>
      </c>
      <c r="B4">
        <v>6</v>
      </c>
      <c r="C4">
        <v>1</v>
      </c>
      <c r="D4">
        <v>0</v>
      </c>
      <c r="H4">
        <v>2</v>
      </c>
      <c r="I4">
        <v>2006</v>
      </c>
      <c r="J4">
        <v>1</v>
      </c>
      <c r="K4">
        <v>6</v>
      </c>
      <c r="L4">
        <v>0</v>
      </c>
    </row>
    <row r="5" spans="1:12">
      <c r="A5" s="1">
        <v>2007</v>
      </c>
      <c r="B5">
        <v>9</v>
      </c>
      <c r="C5">
        <v>5</v>
      </c>
      <c r="D5">
        <v>0</v>
      </c>
      <c r="H5">
        <v>3</v>
      </c>
      <c r="I5">
        <v>2007</v>
      </c>
      <c r="J5">
        <v>5</v>
      </c>
      <c r="K5">
        <v>9</v>
      </c>
      <c r="L5">
        <v>0</v>
      </c>
    </row>
    <row r="6" spans="1:12">
      <c r="A6" s="1">
        <v>2008</v>
      </c>
      <c r="B6">
        <v>9</v>
      </c>
      <c r="C6">
        <v>6</v>
      </c>
      <c r="D6">
        <v>0</v>
      </c>
      <c r="H6">
        <v>4</v>
      </c>
      <c r="I6">
        <v>2008</v>
      </c>
      <c r="J6">
        <v>6</v>
      </c>
      <c r="K6">
        <v>9</v>
      </c>
      <c r="L6">
        <v>0</v>
      </c>
    </row>
    <row r="7" spans="1:12">
      <c r="A7" s="1">
        <v>2009</v>
      </c>
      <c r="B7">
        <v>5</v>
      </c>
      <c r="C7">
        <v>9</v>
      </c>
      <c r="D7">
        <v>0</v>
      </c>
      <c r="H7">
        <v>5</v>
      </c>
      <c r="I7">
        <v>2009</v>
      </c>
      <c r="J7">
        <v>9</v>
      </c>
      <c r="K7">
        <v>5</v>
      </c>
      <c r="L7">
        <v>0</v>
      </c>
    </row>
    <row r="8" spans="1:12">
      <c r="A8" s="1">
        <v>2010</v>
      </c>
      <c r="B8">
        <v>3</v>
      </c>
      <c r="C8">
        <v>11</v>
      </c>
      <c r="D8">
        <v>0</v>
      </c>
      <c r="H8">
        <v>6</v>
      </c>
      <c r="I8">
        <v>2010</v>
      </c>
      <c r="J8">
        <v>11</v>
      </c>
      <c r="K8">
        <v>3</v>
      </c>
      <c r="L8">
        <v>0</v>
      </c>
    </row>
    <row r="9" spans="1:12">
      <c r="A9" s="1">
        <v>2011</v>
      </c>
      <c r="B9">
        <v>22</v>
      </c>
      <c r="C9">
        <v>16</v>
      </c>
      <c r="D9">
        <v>0</v>
      </c>
      <c r="H9">
        <v>7</v>
      </c>
      <c r="I9">
        <v>2011</v>
      </c>
      <c r="J9">
        <v>16</v>
      </c>
      <c r="K9">
        <v>22</v>
      </c>
      <c r="L9">
        <v>0</v>
      </c>
    </row>
    <row r="10" spans="1:12">
      <c r="A10" s="1">
        <v>2012</v>
      </c>
      <c r="B10">
        <v>5</v>
      </c>
      <c r="C10">
        <v>11</v>
      </c>
      <c r="D10">
        <v>0</v>
      </c>
      <c r="H10">
        <v>8</v>
      </c>
      <c r="I10">
        <v>2012</v>
      </c>
      <c r="J10">
        <v>11</v>
      </c>
      <c r="K10">
        <v>5</v>
      </c>
      <c r="L10">
        <v>0</v>
      </c>
    </row>
    <row r="11" spans="1:12">
      <c r="A11" s="1">
        <v>2013</v>
      </c>
      <c r="B11">
        <v>16</v>
      </c>
      <c r="C11">
        <v>14</v>
      </c>
      <c r="D11">
        <v>1</v>
      </c>
      <c r="H11">
        <v>9</v>
      </c>
      <c r="I11">
        <v>2013</v>
      </c>
      <c r="J11">
        <v>14</v>
      </c>
      <c r="K11">
        <v>16</v>
      </c>
      <c r="L11">
        <v>1</v>
      </c>
    </row>
    <row r="12" spans="1:12">
      <c r="A12" s="1">
        <v>2014</v>
      </c>
      <c r="B12">
        <v>18</v>
      </c>
      <c r="C12">
        <v>14</v>
      </c>
      <c r="D12">
        <v>1</v>
      </c>
      <c r="H12">
        <v>10</v>
      </c>
      <c r="I12">
        <v>2014</v>
      </c>
      <c r="J12">
        <v>14</v>
      </c>
      <c r="K12">
        <v>18</v>
      </c>
      <c r="L12">
        <v>1</v>
      </c>
    </row>
    <row r="13" spans="1:12">
      <c r="A13" s="1">
        <v>2015</v>
      </c>
      <c r="B13">
        <v>29</v>
      </c>
      <c r="C13">
        <v>18</v>
      </c>
      <c r="D13">
        <v>4</v>
      </c>
      <c r="H13">
        <v>11</v>
      </c>
      <c r="I13">
        <v>2015</v>
      </c>
      <c r="J13">
        <v>18</v>
      </c>
      <c r="K13">
        <v>29</v>
      </c>
      <c r="L13">
        <v>4</v>
      </c>
    </row>
    <row r="14" spans="1:12">
      <c r="A14" s="1">
        <v>2016</v>
      </c>
      <c r="B14">
        <v>25</v>
      </c>
      <c r="C14">
        <v>13</v>
      </c>
      <c r="D14">
        <v>2</v>
      </c>
      <c r="H14">
        <v>12</v>
      </c>
      <c r="I14">
        <v>2016</v>
      </c>
      <c r="J14">
        <v>13</v>
      </c>
      <c r="K14">
        <v>25</v>
      </c>
      <c r="L14">
        <v>2</v>
      </c>
    </row>
    <row r="15" spans="1:12">
      <c r="A15" s="1">
        <v>2017</v>
      </c>
      <c r="B15">
        <v>19</v>
      </c>
      <c r="C15">
        <v>8</v>
      </c>
      <c r="D15">
        <v>12</v>
      </c>
      <c r="H15">
        <v>13</v>
      </c>
      <c r="I15">
        <v>2017</v>
      </c>
      <c r="J15">
        <v>8</v>
      </c>
      <c r="K15">
        <v>19</v>
      </c>
      <c r="L15">
        <v>12</v>
      </c>
    </row>
    <row r="16" spans="1:12">
      <c r="A16" s="1">
        <v>2018</v>
      </c>
      <c r="B16">
        <v>21</v>
      </c>
      <c r="C16">
        <v>12</v>
      </c>
      <c r="D16">
        <v>9</v>
      </c>
      <c r="H16">
        <v>14</v>
      </c>
      <c r="I16">
        <v>2018</v>
      </c>
      <c r="J16">
        <v>12</v>
      </c>
      <c r="K16">
        <v>21</v>
      </c>
      <c r="L16">
        <v>9</v>
      </c>
    </row>
    <row r="17" spans="1:12">
      <c r="A17" s="1">
        <v>2019</v>
      </c>
      <c r="B17">
        <v>25</v>
      </c>
      <c r="C17">
        <v>9</v>
      </c>
      <c r="D17">
        <v>10</v>
      </c>
      <c r="H17">
        <v>15</v>
      </c>
      <c r="I17">
        <v>2019</v>
      </c>
      <c r="J17">
        <v>9</v>
      </c>
      <c r="K17">
        <v>25</v>
      </c>
      <c r="L17">
        <v>10</v>
      </c>
    </row>
    <row r="18" spans="1:12">
      <c r="A18" s="1">
        <v>2020</v>
      </c>
      <c r="B18">
        <v>25</v>
      </c>
      <c r="C18">
        <v>8</v>
      </c>
      <c r="D18">
        <v>22</v>
      </c>
      <c r="H18">
        <v>16</v>
      </c>
      <c r="I18">
        <v>2020</v>
      </c>
      <c r="J18">
        <v>8</v>
      </c>
      <c r="K18">
        <v>25</v>
      </c>
      <c r="L18">
        <v>22</v>
      </c>
    </row>
    <row r="19" spans="1:12">
      <c r="A19" s="1">
        <v>2021</v>
      </c>
      <c r="B19">
        <v>21</v>
      </c>
      <c r="C19">
        <v>8</v>
      </c>
      <c r="D19">
        <v>42</v>
      </c>
      <c r="H19">
        <v>17</v>
      </c>
      <c r="I19">
        <v>2021</v>
      </c>
      <c r="J19">
        <v>8</v>
      </c>
      <c r="K19">
        <v>21</v>
      </c>
      <c r="L19">
        <v>42</v>
      </c>
    </row>
    <row r="20" spans="1:12">
      <c r="A20" s="1">
        <v>2022</v>
      </c>
      <c r="B20">
        <v>20</v>
      </c>
      <c r="C20">
        <v>6</v>
      </c>
      <c r="D20">
        <v>38</v>
      </c>
      <c r="H20">
        <v>18</v>
      </c>
      <c r="I20">
        <v>2022</v>
      </c>
      <c r="J20">
        <v>6</v>
      </c>
      <c r="K20">
        <v>20</v>
      </c>
      <c r="L20">
        <v>38</v>
      </c>
    </row>
    <row r="21" spans="1:12">
      <c r="A21" s="1">
        <v>2023</v>
      </c>
      <c r="B21">
        <v>27</v>
      </c>
      <c r="C21">
        <v>10</v>
      </c>
      <c r="D21">
        <v>42</v>
      </c>
      <c r="H21">
        <v>19</v>
      </c>
      <c r="I21">
        <v>2023</v>
      </c>
      <c r="J21">
        <v>10</v>
      </c>
      <c r="K21">
        <v>27</v>
      </c>
      <c r="L21">
        <v>28</v>
      </c>
    </row>
    <row r="22" spans="1:12">
      <c r="A22" s="1">
        <v>2024</v>
      </c>
      <c r="B22">
        <v>9</v>
      </c>
      <c r="C22">
        <v>3</v>
      </c>
      <c r="D22">
        <v>17</v>
      </c>
      <c r="H22">
        <v>20</v>
      </c>
      <c r="I22">
        <v>2024</v>
      </c>
      <c r="J22">
        <v>3</v>
      </c>
      <c r="K22">
        <v>9</v>
      </c>
      <c r="L22">
        <v>17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4C48-8173-4EF9-A043-1E7D83BDB971}">
  <dimension ref="A1:I36"/>
  <sheetViews>
    <sheetView workbookViewId="0">
      <selection activeCell="E39" sqref="E39"/>
    </sheetView>
  </sheetViews>
  <sheetFormatPr defaultRowHeight="13.9"/>
  <cols>
    <col min="1" max="1" width="69.46484375" customWidth="1"/>
    <col min="2" max="2" width="5.46484375" customWidth="1"/>
    <col min="3" max="3" width="11" customWidth="1"/>
  </cols>
  <sheetData>
    <row r="1" spans="1:9">
      <c r="A1" s="2" t="s">
        <v>11</v>
      </c>
      <c r="B1" s="2" t="s">
        <v>12</v>
      </c>
      <c r="C1" s="2" t="s">
        <v>46</v>
      </c>
      <c r="D1" s="2" t="s">
        <v>45</v>
      </c>
      <c r="I1" s="2"/>
    </row>
    <row r="2" spans="1:9">
      <c r="A2" s="2" t="s">
        <v>13</v>
      </c>
      <c r="B2" s="2">
        <v>1970</v>
      </c>
      <c r="C2" s="2" t="s">
        <v>14</v>
      </c>
      <c r="D2" s="2">
        <v>34622</v>
      </c>
      <c r="I2" s="2"/>
    </row>
    <row r="3" spans="1:9">
      <c r="A3" s="2" t="s">
        <v>15</v>
      </c>
      <c r="B3" s="2">
        <v>1993</v>
      </c>
      <c r="C3" s="2" t="s">
        <v>14</v>
      </c>
      <c r="D3" s="2">
        <v>33546</v>
      </c>
      <c r="I3" s="2"/>
    </row>
    <row r="4" spans="1:9">
      <c r="A4" s="2" t="s">
        <v>16</v>
      </c>
      <c r="B4" s="2">
        <v>1964</v>
      </c>
      <c r="C4" s="2" t="s">
        <v>14</v>
      </c>
      <c r="D4" s="2">
        <v>31840</v>
      </c>
      <c r="I4" s="2"/>
    </row>
    <row r="5" spans="1:9">
      <c r="A5" s="2" t="s">
        <v>17</v>
      </c>
      <c r="B5" s="2">
        <v>1997</v>
      </c>
      <c r="C5" s="2" t="s">
        <v>14</v>
      </c>
      <c r="D5" s="2">
        <v>21537</v>
      </c>
      <c r="I5" s="2"/>
    </row>
    <row r="6" spans="1:9">
      <c r="A6" s="2" t="s">
        <v>18</v>
      </c>
      <c r="B6" s="2">
        <v>1973</v>
      </c>
      <c r="C6" s="2" t="s">
        <v>19</v>
      </c>
      <c r="D6" s="2">
        <v>18473</v>
      </c>
      <c r="I6" s="2"/>
    </row>
    <row r="7" spans="1:9">
      <c r="A7" s="2" t="s">
        <v>20</v>
      </c>
      <c r="B7" s="2">
        <v>1965</v>
      </c>
      <c r="C7" s="2" t="s">
        <v>21</v>
      </c>
      <c r="D7" s="2">
        <v>15857</v>
      </c>
      <c r="I7" s="2"/>
    </row>
    <row r="8" spans="1:9">
      <c r="A8" s="2" t="s">
        <v>22</v>
      </c>
      <c r="B8" s="2">
        <v>1993</v>
      </c>
      <c r="C8" s="2" t="s">
        <v>14</v>
      </c>
      <c r="D8" s="2">
        <v>15030</v>
      </c>
      <c r="I8" s="2"/>
    </row>
    <row r="9" spans="1:9">
      <c r="A9" s="2" t="s">
        <v>23</v>
      </c>
      <c r="B9" s="2">
        <v>1981</v>
      </c>
      <c r="C9" s="2" t="s">
        <v>24</v>
      </c>
      <c r="D9" s="2">
        <v>10198</v>
      </c>
      <c r="I9" s="2"/>
    </row>
    <row r="10" spans="1:9">
      <c r="A10" s="2" t="s">
        <v>25</v>
      </c>
      <c r="B10" s="2">
        <v>1996</v>
      </c>
      <c r="C10" s="2" t="s">
        <v>26</v>
      </c>
      <c r="D10" s="2">
        <v>9155</v>
      </c>
      <c r="I10" s="2"/>
    </row>
    <row r="11" spans="1:9">
      <c r="A11" s="2" t="s">
        <v>27</v>
      </c>
      <c r="B11" s="2">
        <v>1990</v>
      </c>
      <c r="C11" s="2" t="s">
        <v>19</v>
      </c>
      <c r="D11" s="2">
        <v>8468</v>
      </c>
      <c r="I11" s="2"/>
    </row>
    <row r="12" spans="1:9">
      <c r="A12" s="2" t="s">
        <v>28</v>
      </c>
      <c r="B12" s="2">
        <v>1998</v>
      </c>
      <c r="C12" s="2" t="s">
        <v>29</v>
      </c>
      <c r="D12" s="2">
        <v>8267</v>
      </c>
      <c r="I12" s="2"/>
    </row>
    <row r="13" spans="1:9">
      <c r="A13" s="2" t="s">
        <v>30</v>
      </c>
      <c r="B13" s="2">
        <v>1969</v>
      </c>
      <c r="C13" s="2" t="s">
        <v>31</v>
      </c>
      <c r="D13" s="2">
        <v>8239</v>
      </c>
      <c r="I13" s="2"/>
    </row>
    <row r="14" spans="1:9">
      <c r="A14" s="2" t="s">
        <v>32</v>
      </c>
      <c r="B14" s="2">
        <v>1986</v>
      </c>
      <c r="C14" s="2" t="s">
        <v>21</v>
      </c>
      <c r="D14" s="2">
        <v>8056</v>
      </c>
      <c r="I14" s="2"/>
    </row>
    <row r="15" spans="1:9">
      <c r="A15" s="2" t="s">
        <v>47</v>
      </c>
      <c r="B15" s="2"/>
      <c r="C15" s="2"/>
      <c r="D15" s="2">
        <v>7579</v>
      </c>
      <c r="I15" s="2"/>
    </row>
    <row r="16" spans="1:9">
      <c r="A16" s="2" t="s">
        <v>33</v>
      </c>
      <c r="B16" s="2">
        <v>2015</v>
      </c>
      <c r="C16" s="2" t="s">
        <v>24</v>
      </c>
      <c r="D16" s="2">
        <v>7423</v>
      </c>
      <c r="I16" s="2"/>
    </row>
    <row r="17" spans="1:9">
      <c r="A17" s="2" t="s">
        <v>48</v>
      </c>
      <c r="B17" s="2"/>
      <c r="C17" s="2"/>
      <c r="D17" s="2">
        <v>6630</v>
      </c>
      <c r="I17" s="2"/>
    </row>
    <row r="18" spans="1:9">
      <c r="A18" s="2" t="s">
        <v>49</v>
      </c>
      <c r="B18" s="2"/>
      <c r="C18" s="2"/>
      <c r="D18" s="2">
        <v>5394</v>
      </c>
      <c r="I18" s="2"/>
    </row>
    <row r="19" spans="1:9">
      <c r="A19" s="2" t="s">
        <v>34</v>
      </c>
      <c r="B19" s="2">
        <v>1989</v>
      </c>
      <c r="C19" s="2" t="s">
        <v>24</v>
      </c>
      <c r="D19" s="2">
        <v>5078</v>
      </c>
      <c r="I19" s="2"/>
    </row>
    <row r="20" spans="1:9">
      <c r="A20" s="2" t="s">
        <v>50</v>
      </c>
      <c r="B20" s="2"/>
      <c r="C20" s="2"/>
      <c r="D20" s="2">
        <v>4678</v>
      </c>
      <c r="I20" s="2"/>
    </row>
    <row r="21" spans="1:9">
      <c r="A21" s="2" t="s">
        <v>51</v>
      </c>
      <c r="B21" s="2"/>
      <c r="C21" s="2"/>
      <c r="D21" s="2">
        <v>4400</v>
      </c>
      <c r="I21" s="2"/>
    </row>
    <row r="22" spans="1:9">
      <c r="A22" s="2" t="s">
        <v>35</v>
      </c>
      <c r="B22" s="2">
        <v>2007</v>
      </c>
      <c r="C22" s="2" t="s">
        <v>36</v>
      </c>
      <c r="D22" s="2">
        <v>4284</v>
      </c>
      <c r="I22" s="2"/>
    </row>
    <row r="23" spans="1:9">
      <c r="A23" s="2" t="s">
        <v>37</v>
      </c>
      <c r="B23" s="2">
        <v>2008</v>
      </c>
      <c r="C23" s="2" t="s">
        <v>38</v>
      </c>
      <c r="D23" s="2">
        <v>3794</v>
      </c>
      <c r="I23" s="2"/>
    </row>
    <row r="24" spans="1:9">
      <c r="A24" s="2" t="s">
        <v>52</v>
      </c>
      <c r="B24" s="2"/>
      <c r="C24" s="2"/>
      <c r="D24" s="2">
        <v>3755</v>
      </c>
      <c r="I24" s="2"/>
    </row>
    <row r="25" spans="1:9">
      <c r="A25" s="2" t="s">
        <v>39</v>
      </c>
      <c r="B25" s="2">
        <v>1988</v>
      </c>
      <c r="C25" s="2" t="s">
        <v>14</v>
      </c>
      <c r="D25" s="2">
        <v>3649</v>
      </c>
      <c r="I25" s="2"/>
    </row>
    <row r="26" spans="1:9">
      <c r="A26" s="2" t="s">
        <v>40</v>
      </c>
      <c r="B26" s="2">
        <v>2001</v>
      </c>
      <c r="C26" s="2" t="s">
        <v>14</v>
      </c>
      <c r="D26" s="2">
        <v>3502</v>
      </c>
      <c r="I26" s="2"/>
    </row>
    <row r="27" spans="1:9">
      <c r="A27" s="2" t="s">
        <v>53</v>
      </c>
      <c r="B27" s="2"/>
      <c r="C27" s="2"/>
      <c r="D27" s="2">
        <v>3380</v>
      </c>
      <c r="I27" s="2"/>
    </row>
    <row r="28" spans="1:9">
      <c r="A28" s="2" t="s">
        <v>54</v>
      </c>
      <c r="B28" s="2"/>
      <c r="C28" s="2"/>
      <c r="D28" s="2">
        <v>3089</v>
      </c>
      <c r="I28" s="2"/>
    </row>
    <row r="29" spans="1:9">
      <c r="A29" s="2" t="s">
        <v>56</v>
      </c>
      <c r="B29" s="2"/>
      <c r="C29" s="2"/>
      <c r="D29" s="2">
        <v>3006</v>
      </c>
      <c r="I29" s="2"/>
    </row>
    <row r="30" spans="1:9">
      <c r="A30" s="2" t="s">
        <v>55</v>
      </c>
      <c r="B30" s="2"/>
      <c r="C30" s="2"/>
      <c r="D30" s="2">
        <v>2747</v>
      </c>
      <c r="I30" s="2"/>
    </row>
    <row r="31" spans="1:9">
      <c r="A31" s="2" t="s">
        <v>41</v>
      </c>
      <c r="B31" s="2">
        <v>2004</v>
      </c>
      <c r="C31" s="2" t="s">
        <v>14</v>
      </c>
      <c r="D31" s="2">
        <v>2712</v>
      </c>
      <c r="I31" s="2"/>
    </row>
    <row r="32" spans="1:9">
      <c r="A32" s="2" t="s">
        <v>42</v>
      </c>
      <c r="B32" s="2">
        <v>2008</v>
      </c>
      <c r="C32" s="2" t="s">
        <v>38</v>
      </c>
      <c r="D32" s="2">
        <v>2649</v>
      </c>
      <c r="I32" s="2"/>
    </row>
    <row r="33" spans="1:9">
      <c r="A33" s="2" t="s">
        <v>57</v>
      </c>
      <c r="B33" s="2"/>
      <c r="C33" s="2"/>
      <c r="D33" s="2">
        <v>2587</v>
      </c>
      <c r="I33" s="2"/>
    </row>
    <row r="34" spans="1:9">
      <c r="A34" s="2" t="s">
        <v>43</v>
      </c>
      <c r="B34" s="2">
        <v>1952</v>
      </c>
      <c r="C34" s="2" t="s">
        <v>19</v>
      </c>
      <c r="D34" s="2">
        <v>2574</v>
      </c>
      <c r="I34" s="2"/>
    </row>
    <row r="35" spans="1:9">
      <c r="A35" s="2" t="s">
        <v>44</v>
      </c>
      <c r="B35" s="2">
        <v>1986</v>
      </c>
      <c r="C35" s="2" t="s">
        <v>24</v>
      </c>
      <c r="D35" s="2">
        <v>2403</v>
      </c>
      <c r="I35" s="2"/>
    </row>
    <row r="36" spans="1:9">
      <c r="D36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F3D1-EAC7-4D48-8DCE-4831EBB1CED1}">
  <dimension ref="A1:XFD169"/>
  <sheetViews>
    <sheetView zoomScale="62" zoomScaleNormal="62" workbookViewId="0">
      <selection activeCell="C162" sqref="C162"/>
    </sheetView>
  </sheetViews>
  <sheetFormatPr defaultRowHeight="13.9"/>
  <cols>
    <col min="1" max="1" width="47.33203125" customWidth="1"/>
    <col min="2" max="2" width="17" customWidth="1"/>
    <col min="3" max="3" width="18.6640625" customWidth="1"/>
    <col min="4" max="4" width="44.33203125" customWidth="1"/>
    <col min="5" max="5" width="44.46484375" customWidth="1"/>
    <col min="6" max="6" width="49" customWidth="1"/>
    <col min="10" max="10" width="65.19921875" customWidth="1"/>
    <col min="11" max="11" width="8.86328125" style="5"/>
  </cols>
  <sheetData>
    <row r="1" spans="1:11">
      <c r="A1" s="5" t="s">
        <v>216</v>
      </c>
      <c r="B1" s="5" t="s">
        <v>208</v>
      </c>
      <c r="C1" s="6" t="s">
        <v>209</v>
      </c>
      <c r="D1" s="5" t="s">
        <v>210</v>
      </c>
      <c r="E1" s="5" t="s">
        <v>211</v>
      </c>
      <c r="F1" s="5" t="s">
        <v>212</v>
      </c>
      <c r="G1" s="5" t="s">
        <v>213</v>
      </c>
      <c r="H1" s="5" t="s">
        <v>214</v>
      </c>
      <c r="I1" s="7" t="s">
        <v>215</v>
      </c>
      <c r="J1" s="5"/>
      <c r="K1" s="5" t="s">
        <v>555</v>
      </c>
    </row>
    <row r="2" spans="1:11">
      <c r="A2" t="s">
        <v>58</v>
      </c>
      <c r="B2">
        <v>1962</v>
      </c>
      <c r="C2" s="3">
        <v>74</v>
      </c>
      <c r="D2" t="s">
        <v>14</v>
      </c>
      <c r="E2" t="s">
        <v>59</v>
      </c>
      <c r="F2" t="s">
        <v>60</v>
      </c>
      <c r="G2" t="s">
        <v>61</v>
      </c>
      <c r="H2" t="s">
        <v>6</v>
      </c>
      <c r="I2" s="4" t="s">
        <v>62</v>
      </c>
    </row>
    <row r="3" spans="1:11">
      <c r="A3" t="s">
        <v>16</v>
      </c>
      <c r="B3">
        <v>1964</v>
      </c>
      <c r="C3" s="3">
        <v>31840</v>
      </c>
      <c r="D3" t="s">
        <v>14</v>
      </c>
      <c r="E3" t="s">
        <v>63</v>
      </c>
      <c r="F3" t="s">
        <v>64</v>
      </c>
      <c r="G3" t="s">
        <v>61</v>
      </c>
      <c r="H3" t="s">
        <v>6</v>
      </c>
      <c r="I3" s="4" t="s">
        <v>65</v>
      </c>
    </row>
    <row r="4" spans="1:11">
      <c r="A4" t="s">
        <v>66</v>
      </c>
      <c r="B4">
        <v>1965</v>
      </c>
      <c r="C4" s="3">
        <v>4380</v>
      </c>
      <c r="D4" t="s">
        <v>14</v>
      </c>
      <c r="E4" t="s">
        <v>67</v>
      </c>
      <c r="F4" t="s">
        <v>68</v>
      </c>
      <c r="G4" t="s">
        <v>69</v>
      </c>
      <c r="H4" t="s">
        <v>6</v>
      </c>
      <c r="I4" s="4" t="s">
        <v>70</v>
      </c>
    </row>
    <row r="5" spans="1:11">
      <c r="A5" t="s">
        <v>13</v>
      </c>
      <c r="B5">
        <v>1970</v>
      </c>
      <c r="C5" s="3">
        <v>34622</v>
      </c>
      <c r="D5" t="s">
        <v>14</v>
      </c>
      <c r="E5" t="s">
        <v>71</v>
      </c>
      <c r="F5" t="s">
        <v>72</v>
      </c>
      <c r="G5" t="s">
        <v>69</v>
      </c>
      <c r="H5" t="s">
        <v>6</v>
      </c>
      <c r="I5" s="4" t="s">
        <v>73</v>
      </c>
    </row>
    <row r="6" spans="1:11">
      <c r="A6" t="s">
        <v>74</v>
      </c>
      <c r="B6">
        <v>1971</v>
      </c>
      <c r="C6" s="3">
        <v>97</v>
      </c>
      <c r="D6" t="s">
        <v>14</v>
      </c>
      <c r="E6" t="s">
        <v>75</v>
      </c>
      <c r="F6" t="s">
        <v>76</v>
      </c>
      <c r="G6" t="s">
        <v>69</v>
      </c>
      <c r="H6" t="s">
        <v>6</v>
      </c>
      <c r="I6" s="4" t="s">
        <v>77</v>
      </c>
    </row>
    <row r="7" spans="1:11">
      <c r="A7" t="s">
        <v>78</v>
      </c>
      <c r="B7">
        <v>1971</v>
      </c>
      <c r="C7" s="3">
        <v>18</v>
      </c>
      <c r="D7" t="s">
        <v>14</v>
      </c>
      <c r="E7" t="s">
        <v>79</v>
      </c>
      <c r="F7" t="s">
        <v>80</v>
      </c>
      <c r="G7" t="s">
        <v>61</v>
      </c>
      <c r="H7" t="s">
        <v>6</v>
      </c>
      <c r="I7" s="4" t="s">
        <v>81</v>
      </c>
    </row>
    <row r="8" spans="1:11">
      <c r="A8" t="s">
        <v>82</v>
      </c>
      <c r="B8">
        <v>1972</v>
      </c>
      <c r="C8" s="3">
        <v>1030</v>
      </c>
      <c r="D8" t="s">
        <v>14</v>
      </c>
      <c r="E8" t="s">
        <v>71</v>
      </c>
      <c r="F8" t="s">
        <v>72</v>
      </c>
      <c r="G8" t="s">
        <v>69</v>
      </c>
      <c r="H8" t="s">
        <v>6</v>
      </c>
      <c r="I8" s="4" t="s">
        <v>83</v>
      </c>
    </row>
    <row r="9" spans="1:11">
      <c r="A9" t="s">
        <v>84</v>
      </c>
      <c r="B9">
        <v>1976</v>
      </c>
      <c r="C9" s="3">
        <v>1210</v>
      </c>
      <c r="D9" t="s">
        <v>14</v>
      </c>
      <c r="E9" t="s">
        <v>85</v>
      </c>
      <c r="F9" t="s">
        <v>86</v>
      </c>
      <c r="G9" t="s">
        <v>61</v>
      </c>
      <c r="H9" t="s">
        <v>6</v>
      </c>
      <c r="I9" s="4" t="s">
        <v>87</v>
      </c>
    </row>
    <row r="10" spans="1:11">
      <c r="A10" t="s">
        <v>88</v>
      </c>
      <c r="B10">
        <v>1976</v>
      </c>
      <c r="C10" s="3">
        <v>986</v>
      </c>
      <c r="D10" t="s">
        <v>14</v>
      </c>
      <c r="E10" t="s">
        <v>89</v>
      </c>
      <c r="F10" t="s">
        <v>90</v>
      </c>
      <c r="G10" t="s">
        <v>61</v>
      </c>
      <c r="H10" t="s">
        <v>6</v>
      </c>
      <c r="I10" s="4" t="s">
        <v>91</v>
      </c>
    </row>
    <row r="11" spans="1:11">
      <c r="A11" t="s">
        <v>92</v>
      </c>
      <c r="B11">
        <v>1976</v>
      </c>
      <c r="C11" s="3">
        <v>710</v>
      </c>
      <c r="D11" t="s">
        <v>14</v>
      </c>
      <c r="E11" t="s">
        <v>93</v>
      </c>
      <c r="F11" t="s">
        <v>94</v>
      </c>
      <c r="G11" t="s">
        <v>61</v>
      </c>
      <c r="H11" t="s">
        <v>6</v>
      </c>
      <c r="I11" s="4" t="s">
        <v>95</v>
      </c>
    </row>
    <row r="12" spans="1:11">
      <c r="A12" t="s">
        <v>96</v>
      </c>
      <c r="B12">
        <v>1983</v>
      </c>
      <c r="C12" s="3">
        <v>1603</v>
      </c>
      <c r="D12" t="s">
        <v>14</v>
      </c>
      <c r="E12" t="s">
        <v>97</v>
      </c>
      <c r="F12" t="s">
        <v>98</v>
      </c>
      <c r="G12" t="s">
        <v>61</v>
      </c>
      <c r="H12" t="s">
        <v>6</v>
      </c>
      <c r="I12" s="4" t="s">
        <v>99</v>
      </c>
    </row>
    <row r="13" spans="1:11">
      <c r="A13" t="s">
        <v>39</v>
      </c>
      <c r="B13">
        <v>1988</v>
      </c>
      <c r="C13" s="3">
        <v>3649</v>
      </c>
      <c r="D13" t="s">
        <v>14</v>
      </c>
      <c r="E13" t="s">
        <v>100</v>
      </c>
      <c r="F13" t="s">
        <v>101</v>
      </c>
      <c r="G13" t="s">
        <v>61</v>
      </c>
      <c r="H13" t="s">
        <v>6</v>
      </c>
      <c r="I13" s="4" t="s">
        <v>102</v>
      </c>
    </row>
    <row r="14" spans="1:11">
      <c r="A14" t="s">
        <v>103</v>
      </c>
      <c r="B14">
        <v>1989</v>
      </c>
      <c r="C14" s="3">
        <v>883</v>
      </c>
      <c r="D14" t="s">
        <v>14</v>
      </c>
      <c r="E14" t="s">
        <v>104</v>
      </c>
      <c r="F14" t="s">
        <v>105</v>
      </c>
      <c r="G14" t="s">
        <v>61</v>
      </c>
      <c r="H14" t="s">
        <v>6</v>
      </c>
      <c r="I14" s="4" t="s">
        <v>106</v>
      </c>
    </row>
    <row r="15" spans="1:11">
      <c r="A15" t="s">
        <v>107</v>
      </c>
      <c r="B15">
        <v>1992</v>
      </c>
      <c r="C15" s="3">
        <v>25998</v>
      </c>
      <c r="D15" t="s">
        <v>14</v>
      </c>
      <c r="E15" t="s">
        <v>108</v>
      </c>
      <c r="F15" t="s">
        <v>109</v>
      </c>
      <c r="G15" t="s">
        <v>61</v>
      </c>
      <c r="H15" t="s">
        <v>6</v>
      </c>
      <c r="I15" s="4" t="s">
        <v>110</v>
      </c>
    </row>
    <row r="16" spans="1:11">
      <c r="A16" t="s">
        <v>111</v>
      </c>
      <c r="B16">
        <v>1992</v>
      </c>
      <c r="C16" s="3">
        <v>919</v>
      </c>
      <c r="D16" t="s">
        <v>14</v>
      </c>
      <c r="E16" t="s">
        <v>112</v>
      </c>
      <c r="F16" t="s">
        <v>113</v>
      </c>
      <c r="G16" t="s">
        <v>61</v>
      </c>
      <c r="H16" t="s">
        <v>6</v>
      </c>
      <c r="I16" s="4" t="s">
        <v>114</v>
      </c>
    </row>
    <row r="17" spans="1:9">
      <c r="A17" t="s">
        <v>15</v>
      </c>
      <c r="B17">
        <v>1993</v>
      </c>
      <c r="C17" s="3">
        <v>33546</v>
      </c>
      <c r="D17" t="s">
        <v>14</v>
      </c>
      <c r="E17" t="s">
        <v>108</v>
      </c>
      <c r="F17" t="s">
        <v>115</v>
      </c>
      <c r="G17" t="s">
        <v>61</v>
      </c>
      <c r="H17" t="s">
        <v>6</v>
      </c>
      <c r="I17" s="4" t="s">
        <v>116</v>
      </c>
    </row>
    <row r="18" spans="1:9">
      <c r="A18" t="s">
        <v>22</v>
      </c>
      <c r="B18">
        <v>1993</v>
      </c>
      <c r="C18" s="3">
        <v>15030</v>
      </c>
      <c r="D18" t="s">
        <v>14</v>
      </c>
      <c r="E18" t="s">
        <v>117</v>
      </c>
      <c r="F18" t="s">
        <v>118</v>
      </c>
      <c r="G18" t="s">
        <v>61</v>
      </c>
      <c r="H18" t="s">
        <v>6</v>
      </c>
      <c r="I18" s="4" t="s">
        <v>119</v>
      </c>
    </row>
    <row r="19" spans="1:9">
      <c r="A19" t="s">
        <v>120</v>
      </c>
      <c r="B19">
        <v>1994</v>
      </c>
      <c r="C19" s="3">
        <v>783</v>
      </c>
      <c r="D19" t="s">
        <v>14</v>
      </c>
      <c r="E19" t="s">
        <v>121</v>
      </c>
      <c r="F19" t="s">
        <v>122</v>
      </c>
      <c r="G19" t="s">
        <v>123</v>
      </c>
      <c r="H19" t="s">
        <v>6</v>
      </c>
      <c r="I19" s="4" t="s">
        <v>124</v>
      </c>
    </row>
    <row r="20" spans="1:9">
      <c r="A20" t="s">
        <v>125</v>
      </c>
      <c r="B20">
        <v>1995</v>
      </c>
      <c r="C20" s="3">
        <v>5391</v>
      </c>
      <c r="D20" t="s">
        <v>14</v>
      </c>
      <c r="E20" t="s">
        <v>108</v>
      </c>
      <c r="F20" t="s">
        <v>126</v>
      </c>
      <c r="G20" t="s">
        <v>61</v>
      </c>
      <c r="H20" t="s">
        <v>6</v>
      </c>
      <c r="I20" s="4" t="s">
        <v>127</v>
      </c>
    </row>
    <row r="21" spans="1:9">
      <c r="A21" t="s">
        <v>17</v>
      </c>
      <c r="B21">
        <v>1997</v>
      </c>
      <c r="C21" s="3">
        <v>21537</v>
      </c>
      <c r="D21" t="s">
        <v>14</v>
      </c>
      <c r="E21" t="s">
        <v>128</v>
      </c>
      <c r="F21" t="s">
        <v>129</v>
      </c>
      <c r="G21" t="s">
        <v>61</v>
      </c>
      <c r="H21" t="s">
        <v>6</v>
      </c>
      <c r="I21" s="4" t="s">
        <v>130</v>
      </c>
    </row>
    <row r="22" spans="1:9">
      <c r="A22" t="s">
        <v>131</v>
      </c>
      <c r="B22">
        <v>1998</v>
      </c>
      <c r="C22" s="3">
        <v>863</v>
      </c>
      <c r="D22" t="s">
        <v>14</v>
      </c>
      <c r="E22" t="s">
        <v>132</v>
      </c>
      <c r="F22" t="s">
        <v>133</v>
      </c>
      <c r="G22" t="s">
        <v>61</v>
      </c>
      <c r="H22" t="s">
        <v>6</v>
      </c>
      <c r="I22" s="4" t="s">
        <v>134</v>
      </c>
    </row>
    <row r="23" spans="1:9">
      <c r="A23" t="s">
        <v>135</v>
      </c>
      <c r="B23">
        <v>1999</v>
      </c>
      <c r="C23" s="3">
        <v>397</v>
      </c>
      <c r="D23" t="s">
        <v>14</v>
      </c>
      <c r="E23" t="s">
        <v>108</v>
      </c>
      <c r="F23" t="s">
        <v>136</v>
      </c>
      <c r="G23" t="s">
        <v>61</v>
      </c>
      <c r="H23" t="s">
        <v>6</v>
      </c>
      <c r="I23" s="4" t="s">
        <v>137</v>
      </c>
    </row>
    <row r="24" spans="1:9">
      <c r="A24" t="s">
        <v>138</v>
      </c>
      <c r="B24">
        <v>2000</v>
      </c>
      <c r="C24" s="3">
        <v>1551</v>
      </c>
      <c r="D24" t="s">
        <v>14</v>
      </c>
      <c r="E24" t="s">
        <v>139</v>
      </c>
      <c r="F24" t="s">
        <v>140</v>
      </c>
      <c r="G24" t="s">
        <v>61</v>
      </c>
      <c r="H24" t="s">
        <v>6</v>
      </c>
      <c r="I24" s="4" t="s">
        <v>141</v>
      </c>
    </row>
    <row r="25" spans="1:9">
      <c r="A25" t="s">
        <v>40</v>
      </c>
      <c r="B25">
        <v>2001</v>
      </c>
      <c r="C25" s="3">
        <v>3502</v>
      </c>
      <c r="D25" t="s">
        <v>14</v>
      </c>
      <c r="E25" t="s">
        <v>142</v>
      </c>
      <c r="F25" t="s">
        <v>143</v>
      </c>
      <c r="G25" t="s">
        <v>123</v>
      </c>
      <c r="H25" t="s">
        <v>6</v>
      </c>
      <c r="I25" s="4" t="s">
        <v>144</v>
      </c>
    </row>
    <row r="26" spans="1:9">
      <c r="A26" t="s">
        <v>55</v>
      </c>
      <c r="B26">
        <v>2001</v>
      </c>
      <c r="C26" s="3">
        <v>2746</v>
      </c>
      <c r="D26" t="s">
        <v>14</v>
      </c>
      <c r="E26" t="s">
        <v>145</v>
      </c>
      <c r="F26" t="s">
        <v>146</v>
      </c>
      <c r="G26" t="s">
        <v>61</v>
      </c>
      <c r="H26" t="s">
        <v>6</v>
      </c>
      <c r="I26" s="4" t="s">
        <v>147</v>
      </c>
    </row>
    <row r="27" spans="1:9">
      <c r="A27" t="s">
        <v>41</v>
      </c>
      <c r="B27">
        <v>2004</v>
      </c>
      <c r="C27" s="3">
        <v>2712</v>
      </c>
      <c r="D27" t="s">
        <v>14</v>
      </c>
      <c r="E27" t="s">
        <v>148</v>
      </c>
      <c r="F27" t="s">
        <v>149</v>
      </c>
      <c r="G27" t="s">
        <v>123</v>
      </c>
      <c r="H27" t="s">
        <v>6</v>
      </c>
      <c r="I27" s="4" t="s">
        <v>150</v>
      </c>
    </row>
    <row r="28" spans="1:9">
      <c r="A28" t="s">
        <v>151</v>
      </c>
      <c r="B28">
        <v>2006</v>
      </c>
      <c r="C28" s="3">
        <v>6610</v>
      </c>
      <c r="D28" t="s">
        <v>14</v>
      </c>
      <c r="E28" t="s">
        <v>152</v>
      </c>
      <c r="F28" t="s">
        <v>153</v>
      </c>
      <c r="G28" t="s">
        <v>123</v>
      </c>
      <c r="H28" t="s">
        <v>6</v>
      </c>
      <c r="I28" s="4" t="s">
        <v>154</v>
      </c>
    </row>
    <row r="29" spans="1:9">
      <c r="A29" t="s">
        <v>155</v>
      </c>
      <c r="B29">
        <v>2006</v>
      </c>
      <c r="C29" s="3">
        <v>771</v>
      </c>
      <c r="D29" t="s">
        <v>14</v>
      </c>
      <c r="E29" t="s">
        <v>108</v>
      </c>
      <c r="F29" t="s">
        <v>136</v>
      </c>
      <c r="G29" t="s">
        <v>61</v>
      </c>
      <c r="H29" t="s">
        <v>6</v>
      </c>
      <c r="I29" s="4" t="s">
        <v>156</v>
      </c>
    </row>
    <row r="30" spans="1:9">
      <c r="A30" t="s">
        <v>157</v>
      </c>
      <c r="B30">
        <v>2007</v>
      </c>
      <c r="C30" s="3">
        <v>4663</v>
      </c>
      <c r="D30" t="s">
        <v>14</v>
      </c>
      <c r="E30" t="s">
        <v>158</v>
      </c>
      <c r="F30" t="s">
        <v>159</v>
      </c>
      <c r="G30" t="s">
        <v>123</v>
      </c>
      <c r="H30" t="s">
        <v>6</v>
      </c>
      <c r="I30" s="4" t="s">
        <v>160</v>
      </c>
    </row>
    <row r="31" spans="1:9">
      <c r="A31" t="s">
        <v>161</v>
      </c>
      <c r="B31">
        <v>2008</v>
      </c>
      <c r="C31" s="3">
        <v>2581</v>
      </c>
      <c r="D31" t="s">
        <v>14</v>
      </c>
      <c r="E31" t="s">
        <v>162</v>
      </c>
      <c r="F31" t="s">
        <v>163</v>
      </c>
      <c r="G31" t="s">
        <v>123</v>
      </c>
      <c r="H31" t="s">
        <v>6</v>
      </c>
      <c r="I31" s="4" t="s">
        <v>164</v>
      </c>
    </row>
    <row r="32" spans="1:9">
      <c r="A32" t="s">
        <v>165</v>
      </c>
      <c r="B32">
        <v>2008</v>
      </c>
      <c r="C32" s="3">
        <v>1379</v>
      </c>
      <c r="D32" t="s">
        <v>14</v>
      </c>
      <c r="E32" t="s">
        <v>166</v>
      </c>
      <c r="F32" t="s">
        <v>167</v>
      </c>
      <c r="G32" t="s">
        <v>61</v>
      </c>
      <c r="H32" t="s">
        <v>6</v>
      </c>
      <c r="I32" s="4" t="s">
        <v>168</v>
      </c>
    </row>
    <row r="33" spans="1:11">
      <c r="A33" t="s">
        <v>169</v>
      </c>
      <c r="B33">
        <v>2009</v>
      </c>
      <c r="C33" s="3">
        <v>2019</v>
      </c>
      <c r="D33" t="s">
        <v>14</v>
      </c>
      <c r="E33" t="s">
        <v>170</v>
      </c>
      <c r="F33" t="s">
        <v>171</v>
      </c>
      <c r="G33" t="s">
        <v>123</v>
      </c>
      <c r="H33" t="s">
        <v>6</v>
      </c>
      <c r="I33" s="4" t="s">
        <v>172</v>
      </c>
    </row>
    <row r="34" spans="1:11">
      <c r="A34" t="s">
        <v>56</v>
      </c>
      <c r="B34">
        <v>2011</v>
      </c>
      <c r="C34" s="3">
        <v>2998</v>
      </c>
      <c r="D34" t="s">
        <v>14</v>
      </c>
      <c r="E34" t="s">
        <v>173</v>
      </c>
      <c r="F34" t="s">
        <v>174</v>
      </c>
      <c r="G34" t="s">
        <v>123</v>
      </c>
      <c r="H34" t="s">
        <v>6</v>
      </c>
      <c r="I34" s="4" t="s">
        <v>175</v>
      </c>
    </row>
    <row r="35" spans="1:11">
      <c r="A35" t="s">
        <v>176</v>
      </c>
      <c r="B35">
        <v>2011</v>
      </c>
      <c r="C35" s="3">
        <v>1179</v>
      </c>
      <c r="D35" t="s">
        <v>14</v>
      </c>
      <c r="E35" t="s">
        <v>177</v>
      </c>
      <c r="F35" t="s">
        <v>178</v>
      </c>
      <c r="G35" t="s">
        <v>123</v>
      </c>
      <c r="H35" t="s">
        <v>6</v>
      </c>
      <c r="I35" s="4" t="s">
        <v>179</v>
      </c>
    </row>
    <row r="36" spans="1:11">
      <c r="A36" t="s">
        <v>180</v>
      </c>
      <c r="B36">
        <v>2012</v>
      </c>
      <c r="C36" s="3">
        <v>356</v>
      </c>
      <c r="D36" t="s">
        <v>14</v>
      </c>
      <c r="E36" t="s">
        <v>181</v>
      </c>
      <c r="F36" t="s">
        <v>129</v>
      </c>
      <c r="G36" t="s">
        <v>123</v>
      </c>
      <c r="H36" t="s">
        <v>6</v>
      </c>
      <c r="I36" s="4" t="s">
        <v>182</v>
      </c>
    </row>
    <row r="37" spans="1:11">
      <c r="A37" t="s">
        <v>183</v>
      </c>
      <c r="B37">
        <v>2013</v>
      </c>
      <c r="C37" s="3">
        <v>1063</v>
      </c>
      <c r="D37" t="s">
        <v>14</v>
      </c>
      <c r="E37" t="s">
        <v>184</v>
      </c>
      <c r="F37" t="s">
        <v>185</v>
      </c>
      <c r="G37" t="s">
        <v>123</v>
      </c>
      <c r="H37" t="s">
        <v>6</v>
      </c>
      <c r="I37" s="4" t="s">
        <v>186</v>
      </c>
    </row>
    <row r="38" spans="1:11">
      <c r="A38" t="s">
        <v>187</v>
      </c>
      <c r="B38">
        <v>2014</v>
      </c>
      <c r="C38" s="3">
        <v>518</v>
      </c>
      <c r="D38" t="s">
        <v>14</v>
      </c>
      <c r="E38" t="s">
        <v>188</v>
      </c>
      <c r="F38" t="s">
        <v>189</v>
      </c>
      <c r="G38" t="s">
        <v>61</v>
      </c>
      <c r="H38" t="s">
        <v>6</v>
      </c>
      <c r="I38" s="4" t="s">
        <v>190</v>
      </c>
    </row>
    <row r="39" spans="1:11">
      <c r="A39" t="s">
        <v>191</v>
      </c>
      <c r="B39">
        <v>2014</v>
      </c>
      <c r="C39" s="3">
        <v>434</v>
      </c>
      <c r="D39" t="s">
        <v>14</v>
      </c>
      <c r="E39" t="s">
        <v>192</v>
      </c>
      <c r="F39" t="s">
        <v>193</v>
      </c>
      <c r="G39" t="s">
        <v>194</v>
      </c>
      <c r="H39" t="s">
        <v>6</v>
      </c>
      <c r="I39" s="4" t="s">
        <v>195</v>
      </c>
    </row>
    <row r="40" spans="1:11">
      <c r="A40" t="s">
        <v>196</v>
      </c>
      <c r="B40">
        <v>2014</v>
      </c>
      <c r="C40" s="3">
        <v>463</v>
      </c>
      <c r="D40" t="s">
        <v>14</v>
      </c>
      <c r="E40" t="s">
        <v>197</v>
      </c>
      <c r="F40" t="s">
        <v>198</v>
      </c>
      <c r="G40" t="s">
        <v>123</v>
      </c>
      <c r="H40" t="s">
        <v>6</v>
      </c>
      <c r="I40" s="4" t="s">
        <v>199</v>
      </c>
    </row>
    <row r="41" spans="1:11">
      <c r="A41" t="s">
        <v>200</v>
      </c>
      <c r="B41">
        <v>2019</v>
      </c>
      <c r="C41" s="3">
        <v>149</v>
      </c>
      <c r="D41" t="s">
        <v>14</v>
      </c>
      <c r="E41" t="s">
        <v>201</v>
      </c>
      <c r="F41" t="s">
        <v>202</v>
      </c>
      <c r="G41" t="s">
        <v>61</v>
      </c>
      <c r="H41" t="s">
        <v>6</v>
      </c>
      <c r="I41" s="4" t="s">
        <v>203</v>
      </c>
    </row>
    <row r="42" spans="1:11" s="8" customFormat="1">
      <c r="A42" s="8" t="s">
        <v>204</v>
      </c>
      <c r="B42" s="8">
        <v>2022</v>
      </c>
      <c r="C42" s="9">
        <v>40</v>
      </c>
      <c r="D42" s="8" t="s">
        <v>205</v>
      </c>
      <c r="E42" s="8" t="s">
        <v>217</v>
      </c>
      <c r="F42" s="8" t="s">
        <v>206</v>
      </c>
      <c r="G42" s="8" t="s">
        <v>61</v>
      </c>
      <c r="H42" s="8" t="s">
        <v>6</v>
      </c>
      <c r="I42" s="10" t="s">
        <v>207</v>
      </c>
      <c r="K42" s="8" t="s">
        <v>580</v>
      </c>
    </row>
    <row r="43" spans="1:11">
      <c r="A43" t="s">
        <v>556</v>
      </c>
      <c r="B43">
        <v>46</v>
      </c>
      <c r="C43">
        <f>SUM(C2:C42)</f>
        <v>221300</v>
      </c>
    </row>
    <row r="45" spans="1:11">
      <c r="A45" s="5" t="s">
        <v>216</v>
      </c>
      <c r="B45" s="5" t="s">
        <v>208</v>
      </c>
      <c r="C45" s="6" t="s">
        <v>209</v>
      </c>
      <c r="D45" s="5" t="s">
        <v>210</v>
      </c>
      <c r="E45" s="5" t="s">
        <v>211</v>
      </c>
      <c r="F45" s="5" t="s">
        <v>212</v>
      </c>
      <c r="G45" s="5" t="s">
        <v>213</v>
      </c>
      <c r="H45" s="5" t="s">
        <v>214</v>
      </c>
      <c r="I45" s="7" t="s">
        <v>215</v>
      </c>
    </row>
    <row r="46" spans="1:11">
      <c r="A46" t="s">
        <v>23</v>
      </c>
      <c r="B46">
        <v>1981</v>
      </c>
      <c r="C46" s="3">
        <v>10198</v>
      </c>
      <c r="D46" t="s">
        <v>24</v>
      </c>
      <c r="E46" t="s">
        <v>218</v>
      </c>
      <c r="F46" t="s">
        <v>219</v>
      </c>
      <c r="G46" t="s">
        <v>61</v>
      </c>
      <c r="H46" t="s">
        <v>6</v>
      </c>
      <c r="I46" s="4" t="s">
        <v>220</v>
      </c>
    </row>
    <row r="47" spans="1:11">
      <c r="A47" t="s">
        <v>44</v>
      </c>
      <c r="B47">
        <v>1986</v>
      </c>
      <c r="C47" s="3">
        <v>2403</v>
      </c>
      <c r="D47" t="s">
        <v>24</v>
      </c>
      <c r="E47" t="s">
        <v>221</v>
      </c>
      <c r="F47" t="s">
        <v>222</v>
      </c>
      <c r="G47" t="s">
        <v>61</v>
      </c>
      <c r="H47" t="s">
        <v>6</v>
      </c>
      <c r="I47" s="4" t="s">
        <v>223</v>
      </c>
    </row>
    <row r="48" spans="1:11">
      <c r="A48" t="s">
        <v>54</v>
      </c>
      <c r="B48">
        <v>1987</v>
      </c>
      <c r="C48" s="3">
        <v>3083</v>
      </c>
      <c r="D48" t="s">
        <v>24</v>
      </c>
      <c r="E48" t="s">
        <v>224</v>
      </c>
      <c r="F48" t="s">
        <v>225</v>
      </c>
      <c r="G48" t="s">
        <v>61</v>
      </c>
      <c r="H48" t="s">
        <v>6</v>
      </c>
      <c r="I48" s="4" t="s">
        <v>226</v>
      </c>
    </row>
    <row r="49" spans="1:11">
      <c r="A49" t="s">
        <v>227</v>
      </c>
      <c r="B49">
        <v>1987</v>
      </c>
      <c r="C49" s="3">
        <v>759</v>
      </c>
      <c r="D49" t="s">
        <v>24</v>
      </c>
      <c r="E49" t="s">
        <v>228</v>
      </c>
      <c r="F49" t="s">
        <v>229</v>
      </c>
      <c r="G49" t="s">
        <v>61</v>
      </c>
      <c r="H49" t="s">
        <v>6</v>
      </c>
      <c r="I49" s="4" t="s">
        <v>230</v>
      </c>
    </row>
    <row r="50" spans="1:11">
      <c r="A50" t="s">
        <v>231</v>
      </c>
      <c r="B50">
        <v>1988</v>
      </c>
      <c r="C50" s="3">
        <v>4876</v>
      </c>
      <c r="D50" t="s">
        <v>24</v>
      </c>
      <c r="E50" t="s">
        <v>108</v>
      </c>
      <c r="F50" t="s">
        <v>115</v>
      </c>
      <c r="G50" t="s">
        <v>61</v>
      </c>
      <c r="H50" t="s">
        <v>6</v>
      </c>
      <c r="I50" s="4" t="s">
        <v>232</v>
      </c>
    </row>
    <row r="51" spans="1:11">
      <c r="A51" t="s">
        <v>34</v>
      </c>
      <c r="B51">
        <v>1989</v>
      </c>
      <c r="C51" s="3">
        <v>5078</v>
      </c>
      <c r="D51" t="s">
        <v>24</v>
      </c>
      <c r="E51" t="s">
        <v>108</v>
      </c>
      <c r="F51" t="s">
        <v>233</v>
      </c>
      <c r="G51" t="s">
        <v>61</v>
      </c>
      <c r="H51" t="s">
        <v>6</v>
      </c>
      <c r="I51" s="4" t="s">
        <v>234</v>
      </c>
    </row>
    <row r="52" spans="1:11">
      <c r="A52" t="s">
        <v>235</v>
      </c>
      <c r="B52">
        <v>1995</v>
      </c>
      <c r="C52" s="3">
        <v>576</v>
      </c>
      <c r="D52" t="s">
        <v>24</v>
      </c>
      <c r="E52" t="s">
        <v>236</v>
      </c>
      <c r="F52" t="s">
        <v>237</v>
      </c>
      <c r="G52" t="s">
        <v>61</v>
      </c>
      <c r="H52" t="s">
        <v>6</v>
      </c>
      <c r="I52" s="4" t="s">
        <v>238</v>
      </c>
    </row>
    <row r="53" spans="1:11">
      <c r="A53" t="s">
        <v>239</v>
      </c>
      <c r="B53">
        <v>1997</v>
      </c>
      <c r="C53" s="3">
        <v>991</v>
      </c>
      <c r="D53" t="s">
        <v>24</v>
      </c>
      <c r="E53" t="s">
        <v>240</v>
      </c>
      <c r="F53" t="s">
        <v>241</v>
      </c>
      <c r="G53" t="s">
        <v>61</v>
      </c>
      <c r="H53" t="s">
        <v>6</v>
      </c>
      <c r="I53" s="4" t="s">
        <v>242</v>
      </c>
    </row>
    <row r="54" spans="1:11">
      <c r="A54" t="s">
        <v>243</v>
      </c>
      <c r="B54">
        <v>1998</v>
      </c>
      <c r="C54" s="3">
        <v>796</v>
      </c>
      <c r="D54" t="s">
        <v>24</v>
      </c>
      <c r="E54" t="s">
        <v>244</v>
      </c>
      <c r="F54" t="s">
        <v>245</v>
      </c>
      <c r="G54" t="s">
        <v>61</v>
      </c>
      <c r="H54" t="s">
        <v>6</v>
      </c>
      <c r="I54" s="4" t="s">
        <v>246</v>
      </c>
    </row>
    <row r="55" spans="1:11">
      <c r="A55" t="s">
        <v>247</v>
      </c>
      <c r="B55">
        <v>1999</v>
      </c>
      <c r="C55" s="3">
        <v>2057</v>
      </c>
      <c r="D55" t="s">
        <v>24</v>
      </c>
      <c r="E55" t="s">
        <v>248</v>
      </c>
      <c r="F55" t="s">
        <v>249</v>
      </c>
      <c r="G55" t="s">
        <v>61</v>
      </c>
      <c r="H55" t="s">
        <v>6</v>
      </c>
      <c r="I55" s="4" t="s">
        <v>250</v>
      </c>
    </row>
    <row r="56" spans="1:11">
      <c r="A56" t="s">
        <v>251</v>
      </c>
      <c r="B56">
        <v>2003</v>
      </c>
      <c r="C56" s="3">
        <v>1721</v>
      </c>
      <c r="D56" t="s">
        <v>24</v>
      </c>
      <c r="E56" t="s">
        <v>252</v>
      </c>
      <c r="F56" t="s">
        <v>253</v>
      </c>
      <c r="G56" t="s">
        <v>61</v>
      </c>
      <c r="H56" t="s">
        <v>6</v>
      </c>
      <c r="I56" s="4" t="s">
        <v>254</v>
      </c>
    </row>
    <row r="57" spans="1:11">
      <c r="A57" t="s">
        <v>255</v>
      </c>
      <c r="B57">
        <v>2003</v>
      </c>
      <c r="C57" s="3">
        <v>1421</v>
      </c>
      <c r="D57" t="s">
        <v>24</v>
      </c>
      <c r="E57" t="s">
        <v>256</v>
      </c>
      <c r="F57" t="s">
        <v>257</v>
      </c>
      <c r="G57" t="s">
        <v>123</v>
      </c>
      <c r="H57" t="s">
        <v>6</v>
      </c>
      <c r="I57" s="4" t="s">
        <v>258</v>
      </c>
    </row>
    <row r="58" spans="1:11">
      <c r="A58" t="s">
        <v>259</v>
      </c>
      <c r="B58">
        <v>2006</v>
      </c>
      <c r="C58" s="3">
        <v>1336</v>
      </c>
      <c r="D58" t="s">
        <v>24</v>
      </c>
      <c r="E58" t="s">
        <v>108</v>
      </c>
      <c r="F58" t="s">
        <v>260</v>
      </c>
      <c r="G58" t="s">
        <v>61</v>
      </c>
      <c r="H58" t="s">
        <v>6</v>
      </c>
      <c r="I58" s="4" t="s">
        <v>261</v>
      </c>
    </row>
    <row r="59" spans="1:11">
      <c r="A59" t="s">
        <v>262</v>
      </c>
      <c r="B59">
        <v>2007</v>
      </c>
      <c r="C59" s="3">
        <v>670</v>
      </c>
      <c r="D59" t="s">
        <v>24</v>
      </c>
      <c r="E59" t="s">
        <v>108</v>
      </c>
      <c r="G59" t="s">
        <v>123</v>
      </c>
      <c r="H59" t="s">
        <v>6</v>
      </c>
      <c r="I59" s="4" t="s">
        <v>263</v>
      </c>
    </row>
    <row r="60" spans="1:11">
      <c r="A60" t="s">
        <v>264</v>
      </c>
      <c r="B60">
        <v>2011</v>
      </c>
      <c r="C60" s="3">
        <v>107</v>
      </c>
      <c r="D60" t="s">
        <v>24</v>
      </c>
      <c r="E60" t="s">
        <v>265</v>
      </c>
      <c r="F60" t="s">
        <v>90</v>
      </c>
      <c r="G60" t="s">
        <v>123</v>
      </c>
      <c r="H60" t="s">
        <v>6</v>
      </c>
      <c r="I60" s="4" t="s">
        <v>266</v>
      </c>
    </row>
    <row r="61" spans="1:11">
      <c r="A61" t="s">
        <v>33</v>
      </c>
      <c r="B61">
        <v>2015</v>
      </c>
      <c r="C61" s="3">
        <v>7423</v>
      </c>
      <c r="D61" t="s">
        <v>24</v>
      </c>
      <c r="E61" t="s">
        <v>108</v>
      </c>
      <c r="F61" t="s">
        <v>136</v>
      </c>
      <c r="G61" t="s">
        <v>61</v>
      </c>
      <c r="H61" t="s">
        <v>6</v>
      </c>
      <c r="I61" s="4" t="s">
        <v>267</v>
      </c>
    </row>
    <row r="62" spans="1:11">
      <c r="A62" t="s">
        <v>268</v>
      </c>
      <c r="B62">
        <v>2019</v>
      </c>
      <c r="C62" s="3">
        <v>109</v>
      </c>
      <c r="D62" t="s">
        <v>24</v>
      </c>
      <c r="E62" t="s">
        <v>269</v>
      </c>
      <c r="F62" t="s">
        <v>270</v>
      </c>
      <c r="G62" t="s">
        <v>61</v>
      </c>
      <c r="H62" t="s">
        <v>6</v>
      </c>
      <c r="I62" s="4" t="s">
        <v>271</v>
      </c>
    </row>
    <row r="63" spans="1:11">
      <c r="A63" t="s">
        <v>272</v>
      </c>
      <c r="B63">
        <v>2019</v>
      </c>
      <c r="C63" s="3">
        <v>98</v>
      </c>
      <c r="D63" t="s">
        <v>24</v>
      </c>
      <c r="E63" t="s">
        <v>273</v>
      </c>
      <c r="F63" t="s">
        <v>274</v>
      </c>
      <c r="G63" t="s">
        <v>61</v>
      </c>
      <c r="H63" t="s">
        <v>6</v>
      </c>
      <c r="I63" s="4" t="s">
        <v>275</v>
      </c>
    </row>
    <row r="64" spans="1:11" s="5" customFormat="1">
      <c r="A64" s="5" t="s">
        <v>276</v>
      </c>
      <c r="B64" s="5">
        <v>2020</v>
      </c>
      <c r="C64" s="11">
        <v>117</v>
      </c>
      <c r="D64" s="5" t="s">
        <v>24</v>
      </c>
      <c r="E64" s="5" t="s">
        <v>277</v>
      </c>
      <c r="F64" s="5" t="s">
        <v>278</v>
      </c>
      <c r="G64" s="5" t="s">
        <v>61</v>
      </c>
      <c r="H64" s="5" t="s">
        <v>6</v>
      </c>
      <c r="I64" s="12" t="s">
        <v>279</v>
      </c>
      <c r="K64" s="5" t="s">
        <v>557</v>
      </c>
    </row>
    <row r="65" spans="1:11" s="5" customFormat="1">
      <c r="A65" s="5" t="s">
        <v>280</v>
      </c>
      <c r="B65" s="5">
        <v>2021</v>
      </c>
      <c r="C65" s="11">
        <v>42</v>
      </c>
      <c r="D65" s="5" t="s">
        <v>24</v>
      </c>
      <c r="E65" s="5" t="s">
        <v>281</v>
      </c>
      <c r="F65" s="5" t="s">
        <v>282</v>
      </c>
      <c r="G65" s="5" t="s">
        <v>61</v>
      </c>
      <c r="H65" s="5" t="s">
        <v>6</v>
      </c>
      <c r="I65" s="12" t="s">
        <v>283</v>
      </c>
      <c r="K65" s="5" t="s">
        <v>558</v>
      </c>
    </row>
    <row r="66" spans="1:11" s="5" customFormat="1">
      <c r="A66" s="5" t="s">
        <v>284</v>
      </c>
      <c r="B66" s="5">
        <v>2022</v>
      </c>
      <c r="C66" s="11">
        <v>47</v>
      </c>
      <c r="D66" s="5" t="s">
        <v>24</v>
      </c>
      <c r="E66" s="5" t="s">
        <v>285</v>
      </c>
      <c r="F66" s="5" t="s">
        <v>286</v>
      </c>
      <c r="G66" s="5" t="s">
        <v>123</v>
      </c>
      <c r="H66" s="5" t="s">
        <v>6</v>
      </c>
      <c r="I66" s="12" t="s">
        <v>287</v>
      </c>
      <c r="K66" s="5" t="s">
        <v>559</v>
      </c>
    </row>
    <row r="67" spans="1:11" s="5" customFormat="1">
      <c r="A67" s="5" t="s">
        <v>288</v>
      </c>
      <c r="B67" s="5">
        <v>2022</v>
      </c>
      <c r="C67" s="11">
        <v>29</v>
      </c>
      <c r="D67" s="5" t="s">
        <v>24</v>
      </c>
      <c r="E67" s="5" t="s">
        <v>289</v>
      </c>
      <c r="F67" s="5" t="s">
        <v>290</v>
      </c>
      <c r="G67" s="5" t="s">
        <v>123</v>
      </c>
      <c r="H67" s="5" t="s">
        <v>6</v>
      </c>
      <c r="I67" s="12" t="s">
        <v>291</v>
      </c>
      <c r="K67" s="5" t="s">
        <v>560</v>
      </c>
    </row>
    <row r="68" spans="1:11" s="5" customFormat="1">
      <c r="A68" s="5" t="s">
        <v>292</v>
      </c>
      <c r="B68" s="5">
        <v>2022</v>
      </c>
      <c r="C68" s="11">
        <v>17</v>
      </c>
      <c r="D68" s="5" t="s">
        <v>24</v>
      </c>
      <c r="E68" s="5" t="s">
        <v>293</v>
      </c>
      <c r="F68" s="5" t="s">
        <v>294</v>
      </c>
      <c r="G68" s="5" t="s">
        <v>61</v>
      </c>
      <c r="H68" s="5" t="s">
        <v>6</v>
      </c>
      <c r="I68" s="12" t="s">
        <v>295</v>
      </c>
      <c r="K68" s="5" t="s">
        <v>561</v>
      </c>
    </row>
    <row r="69" spans="1:11" s="5" customFormat="1">
      <c r="A69" s="5" t="s">
        <v>296</v>
      </c>
      <c r="B69" s="5">
        <v>2023</v>
      </c>
      <c r="C69" s="11">
        <v>2</v>
      </c>
      <c r="D69" s="5" t="s">
        <v>24</v>
      </c>
      <c r="E69" s="5" t="s">
        <v>297</v>
      </c>
      <c r="F69" s="5" t="s">
        <v>298</v>
      </c>
      <c r="G69" s="5" t="s">
        <v>123</v>
      </c>
      <c r="H69" s="5" t="s">
        <v>6</v>
      </c>
      <c r="I69" s="12" t="s">
        <v>299</v>
      </c>
      <c r="K69" s="5" t="s">
        <v>562</v>
      </c>
    </row>
    <row r="70" spans="1:11">
      <c r="A70" t="s">
        <v>300</v>
      </c>
      <c r="B70" s="5">
        <v>30</v>
      </c>
      <c r="C70">
        <f>SUM(C46:C69)</f>
        <v>43956</v>
      </c>
    </row>
    <row r="72" spans="1:11">
      <c r="A72" s="5" t="s">
        <v>216</v>
      </c>
      <c r="B72" s="5" t="s">
        <v>208</v>
      </c>
      <c r="C72" s="6" t="s">
        <v>209</v>
      </c>
      <c r="D72" s="5" t="s">
        <v>210</v>
      </c>
      <c r="E72" s="5" t="s">
        <v>211</v>
      </c>
      <c r="F72" s="5" t="s">
        <v>212</v>
      </c>
      <c r="G72" s="5" t="s">
        <v>213</v>
      </c>
      <c r="H72" s="5" t="s">
        <v>214</v>
      </c>
      <c r="I72" s="7" t="s">
        <v>215</v>
      </c>
    </row>
    <row r="73" spans="1:11">
      <c r="A73" t="s">
        <v>301</v>
      </c>
      <c r="B73">
        <v>1992</v>
      </c>
      <c r="C73" s="3">
        <v>1725</v>
      </c>
      <c r="D73" t="s">
        <v>38</v>
      </c>
      <c r="E73" t="s">
        <v>302</v>
      </c>
      <c r="F73" t="s">
        <v>219</v>
      </c>
      <c r="G73" t="s">
        <v>61</v>
      </c>
      <c r="H73" t="s">
        <v>6</v>
      </c>
      <c r="I73" s="4" t="s">
        <v>303</v>
      </c>
    </row>
    <row r="74" spans="1:11">
      <c r="A74" t="s">
        <v>304</v>
      </c>
      <c r="B74">
        <v>2007</v>
      </c>
      <c r="C74" s="3">
        <v>2110</v>
      </c>
      <c r="D74" t="s">
        <v>38</v>
      </c>
      <c r="E74" t="s">
        <v>305</v>
      </c>
      <c r="F74" t="s">
        <v>306</v>
      </c>
      <c r="G74" t="s">
        <v>61</v>
      </c>
      <c r="H74" t="s">
        <v>6</v>
      </c>
      <c r="I74" s="4" t="s">
        <v>307</v>
      </c>
    </row>
    <row r="75" spans="1:11">
      <c r="A75" t="s">
        <v>37</v>
      </c>
      <c r="B75">
        <v>2008</v>
      </c>
      <c r="C75" s="3">
        <v>3794</v>
      </c>
      <c r="D75" t="s">
        <v>38</v>
      </c>
      <c r="E75" t="s">
        <v>308</v>
      </c>
      <c r="F75" t="s">
        <v>309</v>
      </c>
      <c r="G75" t="s">
        <v>61</v>
      </c>
      <c r="H75" t="s">
        <v>6</v>
      </c>
      <c r="I75" s="4" t="s">
        <v>310</v>
      </c>
    </row>
    <row r="76" spans="1:11">
      <c r="A76" t="s">
        <v>42</v>
      </c>
      <c r="B76">
        <v>2008</v>
      </c>
      <c r="C76" s="3">
        <v>2636</v>
      </c>
      <c r="D76" t="s">
        <v>38</v>
      </c>
      <c r="E76" t="s">
        <v>311</v>
      </c>
      <c r="F76" t="s">
        <v>312</v>
      </c>
      <c r="G76" t="s">
        <v>61</v>
      </c>
      <c r="H76" t="s">
        <v>6</v>
      </c>
      <c r="I76" s="4" t="s">
        <v>313</v>
      </c>
    </row>
    <row r="77" spans="1:11">
      <c r="A77" t="s">
        <v>314</v>
      </c>
      <c r="B77">
        <v>2010</v>
      </c>
      <c r="C77" s="3">
        <v>581</v>
      </c>
      <c r="D77" t="s">
        <v>38</v>
      </c>
      <c r="E77" t="s">
        <v>158</v>
      </c>
      <c r="F77" t="s">
        <v>315</v>
      </c>
      <c r="G77" t="s">
        <v>123</v>
      </c>
      <c r="H77" t="s">
        <v>6</v>
      </c>
      <c r="I77" s="4" t="s">
        <v>316</v>
      </c>
    </row>
    <row r="78" spans="1:11">
      <c r="A78" t="s">
        <v>317</v>
      </c>
      <c r="B78">
        <v>2011</v>
      </c>
      <c r="C78" s="3">
        <v>292</v>
      </c>
      <c r="D78" t="s">
        <v>38</v>
      </c>
      <c r="E78" t="s">
        <v>318</v>
      </c>
      <c r="F78" t="s">
        <v>319</v>
      </c>
      <c r="G78" t="s">
        <v>123</v>
      </c>
      <c r="H78" t="s">
        <v>6</v>
      </c>
      <c r="I78" s="4" t="s">
        <v>320</v>
      </c>
    </row>
    <row r="79" spans="1:11">
      <c r="A79" t="s">
        <v>321</v>
      </c>
      <c r="B79">
        <v>2012</v>
      </c>
      <c r="C79" s="3">
        <v>546</v>
      </c>
      <c r="D79" t="s">
        <v>38</v>
      </c>
      <c r="E79" t="s">
        <v>322</v>
      </c>
      <c r="F79" t="s">
        <v>323</v>
      </c>
      <c r="G79" t="s">
        <v>123</v>
      </c>
      <c r="H79" t="s">
        <v>6</v>
      </c>
      <c r="I79" s="4" t="s">
        <v>324</v>
      </c>
    </row>
    <row r="80" spans="1:11">
      <c r="A80" t="s">
        <v>325</v>
      </c>
      <c r="B80">
        <v>2014</v>
      </c>
      <c r="C80" s="3">
        <v>1091</v>
      </c>
      <c r="D80" t="s">
        <v>38</v>
      </c>
      <c r="E80" t="s">
        <v>326</v>
      </c>
      <c r="F80" t="s">
        <v>327</v>
      </c>
      <c r="G80" t="s">
        <v>123</v>
      </c>
      <c r="H80" t="s">
        <v>6</v>
      </c>
      <c r="I80" s="4" t="s">
        <v>328</v>
      </c>
    </row>
    <row r="81" spans="1:11">
      <c r="A81" t="s">
        <v>329</v>
      </c>
      <c r="B81">
        <v>2015</v>
      </c>
      <c r="C81" s="3">
        <v>228</v>
      </c>
      <c r="D81" t="s">
        <v>38</v>
      </c>
      <c r="E81" t="s">
        <v>330</v>
      </c>
      <c r="F81" t="s">
        <v>331</v>
      </c>
      <c r="G81" t="s">
        <v>123</v>
      </c>
      <c r="H81" t="s">
        <v>6</v>
      </c>
      <c r="I81" s="4" t="s">
        <v>332</v>
      </c>
    </row>
    <row r="82" spans="1:11">
      <c r="A82" t="s">
        <v>333</v>
      </c>
      <c r="B82">
        <v>2016</v>
      </c>
      <c r="C82" s="3">
        <v>1056</v>
      </c>
      <c r="D82" t="s">
        <v>38</v>
      </c>
      <c r="E82" t="s">
        <v>108</v>
      </c>
      <c r="F82" t="s">
        <v>136</v>
      </c>
      <c r="G82" t="s">
        <v>61</v>
      </c>
      <c r="H82" t="s">
        <v>6</v>
      </c>
      <c r="I82" s="4" t="s">
        <v>334</v>
      </c>
    </row>
    <row r="83" spans="1:11">
      <c r="A83" t="s">
        <v>335</v>
      </c>
      <c r="B83">
        <v>2018</v>
      </c>
      <c r="C83" s="3">
        <v>85</v>
      </c>
      <c r="D83" t="s">
        <v>38</v>
      </c>
      <c r="E83" t="s">
        <v>336</v>
      </c>
      <c r="F83" t="s">
        <v>337</v>
      </c>
      <c r="G83" t="s">
        <v>61</v>
      </c>
      <c r="H83" t="s">
        <v>6</v>
      </c>
      <c r="I83" s="4" t="s">
        <v>338</v>
      </c>
    </row>
    <row r="84" spans="1:11" s="5" customFormat="1">
      <c r="A84" s="5" t="s">
        <v>339</v>
      </c>
      <c r="B84" s="5">
        <v>2020</v>
      </c>
      <c r="C84" s="11">
        <v>167</v>
      </c>
      <c r="D84" s="5" t="s">
        <v>340</v>
      </c>
      <c r="E84" s="5" t="s">
        <v>341</v>
      </c>
      <c r="F84" s="5" t="s">
        <v>342</v>
      </c>
      <c r="G84" s="5" t="s">
        <v>61</v>
      </c>
      <c r="H84" s="5" t="s">
        <v>6</v>
      </c>
      <c r="I84" s="12" t="s">
        <v>343</v>
      </c>
      <c r="K84" s="5" t="s">
        <v>563</v>
      </c>
    </row>
    <row r="85" spans="1:11" s="5" customFormat="1">
      <c r="A85" s="5" t="s">
        <v>344</v>
      </c>
      <c r="B85" s="5">
        <v>2021</v>
      </c>
      <c r="C85" s="11">
        <v>52</v>
      </c>
      <c r="D85" s="5" t="s">
        <v>340</v>
      </c>
      <c r="E85" s="5" t="s">
        <v>345</v>
      </c>
      <c r="F85" s="5" t="s">
        <v>346</v>
      </c>
      <c r="G85" s="5" t="s">
        <v>61</v>
      </c>
      <c r="H85" s="5" t="s">
        <v>6</v>
      </c>
      <c r="I85" s="12" t="s">
        <v>347</v>
      </c>
      <c r="K85" s="5" t="s">
        <v>564</v>
      </c>
    </row>
    <row r="86" spans="1:11" s="5" customFormat="1">
      <c r="A86" s="5" t="s">
        <v>348</v>
      </c>
      <c r="B86" s="5">
        <v>2022</v>
      </c>
      <c r="C86" s="11">
        <v>30</v>
      </c>
      <c r="D86" s="5" t="s">
        <v>340</v>
      </c>
      <c r="E86" s="5" t="s">
        <v>349</v>
      </c>
      <c r="F86" s="5" t="s">
        <v>350</v>
      </c>
      <c r="G86" s="5" t="s">
        <v>123</v>
      </c>
      <c r="H86" s="5" t="s">
        <v>6</v>
      </c>
      <c r="I86" s="12" t="s">
        <v>351</v>
      </c>
      <c r="K86" s="5" t="s">
        <v>565</v>
      </c>
    </row>
    <row r="87" spans="1:11">
      <c r="A87" t="s">
        <v>352</v>
      </c>
      <c r="B87">
        <v>21</v>
      </c>
      <c r="C87">
        <f>SUM(C73:C86)</f>
        <v>14393</v>
      </c>
    </row>
    <row r="89" spans="1:11">
      <c r="A89" s="5" t="s">
        <v>216</v>
      </c>
      <c r="B89" s="5" t="s">
        <v>208</v>
      </c>
      <c r="C89" s="6" t="s">
        <v>209</v>
      </c>
      <c r="D89" s="5" t="s">
        <v>210</v>
      </c>
      <c r="E89" s="5" t="s">
        <v>211</v>
      </c>
      <c r="F89" s="5" t="s">
        <v>212</v>
      </c>
      <c r="G89" s="5" t="s">
        <v>213</v>
      </c>
      <c r="H89" s="5" t="s">
        <v>214</v>
      </c>
      <c r="I89" s="7" t="s">
        <v>215</v>
      </c>
    </row>
    <row r="90" spans="1:11">
      <c r="A90" t="s">
        <v>353</v>
      </c>
      <c r="B90">
        <v>1966</v>
      </c>
      <c r="C90" s="3">
        <v>28</v>
      </c>
      <c r="D90" t="s">
        <v>354</v>
      </c>
      <c r="E90" t="s">
        <v>355</v>
      </c>
      <c r="F90" t="s">
        <v>356</v>
      </c>
      <c r="G90" t="s">
        <v>61</v>
      </c>
      <c r="H90" t="s">
        <v>6</v>
      </c>
      <c r="I90" s="4" t="s">
        <v>357</v>
      </c>
    </row>
    <row r="91" spans="1:11">
      <c r="A91" t="s">
        <v>358</v>
      </c>
      <c r="B91">
        <v>1979</v>
      </c>
      <c r="C91" s="3">
        <v>1346</v>
      </c>
      <c r="D91" t="s">
        <v>354</v>
      </c>
      <c r="E91" t="s">
        <v>359</v>
      </c>
      <c r="F91" t="s">
        <v>360</v>
      </c>
      <c r="G91" t="s">
        <v>61</v>
      </c>
      <c r="H91" t="s">
        <v>6</v>
      </c>
      <c r="I91" s="4" t="s">
        <v>361</v>
      </c>
    </row>
    <row r="92" spans="1:11">
      <c r="A92" t="s">
        <v>53</v>
      </c>
      <c r="B92">
        <v>1995</v>
      </c>
      <c r="C92" s="3">
        <v>3374</v>
      </c>
      <c r="D92" t="s">
        <v>354</v>
      </c>
      <c r="E92" t="s">
        <v>71</v>
      </c>
      <c r="F92" t="s">
        <v>72</v>
      </c>
      <c r="G92" t="s">
        <v>69</v>
      </c>
      <c r="H92" t="s">
        <v>6</v>
      </c>
      <c r="I92" s="4" t="s">
        <v>362</v>
      </c>
    </row>
    <row r="93" spans="1:11">
      <c r="A93" t="s">
        <v>363</v>
      </c>
      <c r="B93">
        <v>2001</v>
      </c>
      <c r="C93" s="3">
        <v>564</v>
      </c>
      <c r="D93" t="s">
        <v>354</v>
      </c>
      <c r="E93" t="s">
        <v>364</v>
      </c>
      <c r="F93" t="s">
        <v>365</v>
      </c>
      <c r="G93" t="s">
        <v>123</v>
      </c>
      <c r="H93" t="s">
        <v>6</v>
      </c>
      <c r="I93" s="4" t="s">
        <v>366</v>
      </c>
    </row>
    <row r="94" spans="1:11">
      <c r="A94" t="s">
        <v>367</v>
      </c>
      <c r="B94">
        <v>2007</v>
      </c>
      <c r="C94" s="3">
        <v>243</v>
      </c>
      <c r="D94" t="s">
        <v>354</v>
      </c>
      <c r="E94" t="s">
        <v>108</v>
      </c>
      <c r="G94" t="s">
        <v>61</v>
      </c>
      <c r="H94" t="s">
        <v>6</v>
      </c>
      <c r="I94" s="4" t="s">
        <v>368</v>
      </c>
    </row>
    <row r="95" spans="1:11">
      <c r="A95" t="s">
        <v>369</v>
      </c>
      <c r="B95">
        <v>2011</v>
      </c>
      <c r="C95" s="3">
        <v>999</v>
      </c>
      <c r="D95" t="s">
        <v>354</v>
      </c>
      <c r="E95" t="s">
        <v>370</v>
      </c>
      <c r="F95" t="s">
        <v>371</v>
      </c>
      <c r="G95" t="s">
        <v>69</v>
      </c>
      <c r="H95" t="s">
        <v>6</v>
      </c>
      <c r="I95" s="4" t="s">
        <v>372</v>
      </c>
    </row>
    <row r="96" spans="1:11" s="5" customFormat="1">
      <c r="A96" s="5" t="s">
        <v>373</v>
      </c>
      <c r="B96" s="5">
        <v>2017</v>
      </c>
      <c r="C96" s="11">
        <v>79</v>
      </c>
      <c r="D96" s="5" t="s">
        <v>354</v>
      </c>
      <c r="E96" s="5" t="s">
        <v>374</v>
      </c>
      <c r="F96" s="5" t="s">
        <v>375</v>
      </c>
      <c r="G96" s="5" t="s">
        <v>61</v>
      </c>
      <c r="H96" s="5" t="s">
        <v>6</v>
      </c>
      <c r="I96" s="12" t="s">
        <v>376</v>
      </c>
      <c r="K96" s="5" t="s">
        <v>566</v>
      </c>
    </row>
    <row r="97" spans="1:11" s="5" customFormat="1">
      <c r="A97" s="5" t="s">
        <v>377</v>
      </c>
      <c r="B97" s="5">
        <v>2021</v>
      </c>
      <c r="C97" s="11">
        <v>253</v>
      </c>
      <c r="D97" s="5" t="s">
        <v>354</v>
      </c>
      <c r="E97" s="5" t="s">
        <v>378</v>
      </c>
      <c r="F97" s="5" t="s">
        <v>379</v>
      </c>
      <c r="G97" s="5" t="s">
        <v>61</v>
      </c>
      <c r="H97" s="5" t="s">
        <v>6</v>
      </c>
      <c r="I97" s="12" t="s">
        <v>380</v>
      </c>
      <c r="K97" s="5" t="s">
        <v>567</v>
      </c>
    </row>
    <row r="98" spans="1:11">
      <c r="A98" t="s">
        <v>381</v>
      </c>
      <c r="B98">
        <v>8</v>
      </c>
      <c r="C98">
        <f>SUM(C90:C97)</f>
        <v>6886</v>
      </c>
    </row>
    <row r="100" spans="1:11">
      <c r="A100" s="5" t="s">
        <v>216</v>
      </c>
      <c r="B100" s="5" t="s">
        <v>208</v>
      </c>
      <c r="C100" s="6" t="s">
        <v>209</v>
      </c>
      <c r="D100" s="5" t="s">
        <v>210</v>
      </c>
      <c r="E100" s="5" t="s">
        <v>211</v>
      </c>
      <c r="F100" s="5" t="s">
        <v>212</v>
      </c>
      <c r="G100" s="5" t="s">
        <v>213</v>
      </c>
      <c r="H100" s="5" t="s">
        <v>214</v>
      </c>
      <c r="I100" s="7" t="s">
        <v>215</v>
      </c>
    </row>
    <row r="101" spans="1:11">
      <c r="A101" t="s">
        <v>382</v>
      </c>
      <c r="B101">
        <v>1997</v>
      </c>
      <c r="C101" s="3">
        <v>710</v>
      </c>
      <c r="D101" t="s">
        <v>383</v>
      </c>
      <c r="E101" t="s">
        <v>384</v>
      </c>
      <c r="F101" t="s">
        <v>365</v>
      </c>
      <c r="G101" t="s">
        <v>69</v>
      </c>
      <c r="H101" t="s">
        <v>6</v>
      </c>
      <c r="I101" s="4" t="s">
        <v>385</v>
      </c>
    </row>
    <row r="102" spans="1:11">
      <c r="A102" t="s">
        <v>386</v>
      </c>
      <c r="B102">
        <v>2011</v>
      </c>
      <c r="C102" s="3">
        <v>273</v>
      </c>
      <c r="D102" t="s">
        <v>383</v>
      </c>
      <c r="E102" t="s">
        <v>387</v>
      </c>
      <c r="F102" t="s">
        <v>388</v>
      </c>
      <c r="G102" t="s">
        <v>123</v>
      </c>
      <c r="H102" t="s">
        <v>6</v>
      </c>
      <c r="I102" s="4" t="s">
        <v>389</v>
      </c>
    </row>
    <row r="103" spans="1:11">
      <c r="A103" t="s">
        <v>390</v>
      </c>
      <c r="B103">
        <v>2011</v>
      </c>
      <c r="C103" s="3">
        <v>158</v>
      </c>
      <c r="D103" t="s">
        <v>383</v>
      </c>
      <c r="E103" t="s">
        <v>391</v>
      </c>
      <c r="F103" t="s">
        <v>392</v>
      </c>
      <c r="G103" t="s">
        <v>123</v>
      </c>
      <c r="H103" t="s">
        <v>6</v>
      </c>
      <c r="I103" s="4" t="s">
        <v>393</v>
      </c>
    </row>
    <row r="104" spans="1:11">
      <c r="A104" t="s">
        <v>394</v>
      </c>
      <c r="B104">
        <v>2016</v>
      </c>
      <c r="C104" s="3">
        <v>49</v>
      </c>
      <c r="D104" t="s">
        <v>383</v>
      </c>
      <c r="E104" t="s">
        <v>395</v>
      </c>
      <c r="F104" t="s">
        <v>396</v>
      </c>
      <c r="G104" t="s">
        <v>123</v>
      </c>
      <c r="H104" t="s">
        <v>6</v>
      </c>
      <c r="I104" s="4" t="s">
        <v>397</v>
      </c>
    </row>
    <row r="105" spans="1:11">
      <c r="A105" t="s">
        <v>398</v>
      </c>
      <c r="B105">
        <v>2017</v>
      </c>
      <c r="C105" s="3">
        <v>30</v>
      </c>
      <c r="D105" t="s">
        <v>383</v>
      </c>
      <c r="E105" t="s">
        <v>399</v>
      </c>
      <c r="F105" t="s">
        <v>400</v>
      </c>
      <c r="G105" t="s">
        <v>61</v>
      </c>
      <c r="H105" t="s">
        <v>6</v>
      </c>
      <c r="I105" s="4" t="s">
        <v>401</v>
      </c>
    </row>
    <row r="106" spans="1:11" s="5" customFormat="1">
      <c r="A106" s="5" t="s">
        <v>402</v>
      </c>
      <c r="B106" s="5">
        <v>2017</v>
      </c>
      <c r="C106" s="11">
        <v>314</v>
      </c>
      <c r="D106" s="5" t="s">
        <v>383</v>
      </c>
      <c r="E106" s="5" t="s">
        <v>403</v>
      </c>
      <c r="F106" s="5" t="s">
        <v>404</v>
      </c>
      <c r="G106" s="5" t="s">
        <v>123</v>
      </c>
      <c r="H106" s="5" t="s">
        <v>6</v>
      </c>
      <c r="I106" s="12" t="s">
        <v>405</v>
      </c>
      <c r="K106" s="5" t="s">
        <v>568</v>
      </c>
    </row>
    <row r="107" spans="1:11" s="5" customFormat="1">
      <c r="A107" s="5" t="s">
        <v>406</v>
      </c>
      <c r="B107" s="5">
        <v>2018</v>
      </c>
      <c r="C107" s="11">
        <v>110</v>
      </c>
      <c r="D107" s="5" t="s">
        <v>383</v>
      </c>
      <c r="E107" s="5" t="s">
        <v>407</v>
      </c>
      <c r="F107" s="5" t="s">
        <v>408</v>
      </c>
      <c r="G107" s="5" t="s">
        <v>61</v>
      </c>
      <c r="H107" s="5" t="s">
        <v>6</v>
      </c>
      <c r="I107" s="12" t="s">
        <v>409</v>
      </c>
      <c r="K107" s="5" t="s">
        <v>569</v>
      </c>
    </row>
    <row r="108" spans="1:11" s="5" customFormat="1">
      <c r="A108" s="5" t="s">
        <v>410</v>
      </c>
      <c r="B108" s="5">
        <v>2019</v>
      </c>
      <c r="C108" s="11">
        <v>56</v>
      </c>
      <c r="D108" s="5" t="s">
        <v>383</v>
      </c>
      <c r="E108" s="5" t="s">
        <v>411</v>
      </c>
      <c r="F108" s="5" t="s">
        <v>412</v>
      </c>
      <c r="G108" s="5" t="s">
        <v>61</v>
      </c>
      <c r="H108" s="5" t="s">
        <v>6</v>
      </c>
      <c r="I108" s="12" t="s">
        <v>413</v>
      </c>
      <c r="K108" s="5" t="s">
        <v>570</v>
      </c>
    </row>
    <row r="109" spans="1:11" s="5" customFormat="1">
      <c r="A109" s="5" t="s">
        <v>414</v>
      </c>
      <c r="B109" s="5">
        <v>2019</v>
      </c>
      <c r="C109" s="11">
        <v>24</v>
      </c>
      <c r="D109" s="5" t="s">
        <v>383</v>
      </c>
      <c r="E109" s="5" t="s">
        <v>415</v>
      </c>
      <c r="F109" s="5" t="s">
        <v>416</v>
      </c>
      <c r="G109" s="5" t="s">
        <v>61</v>
      </c>
      <c r="H109" s="5" t="s">
        <v>6</v>
      </c>
      <c r="I109" s="12" t="s">
        <v>417</v>
      </c>
      <c r="K109" s="5" t="s">
        <v>571</v>
      </c>
    </row>
    <row r="110" spans="1:11" s="5" customFormat="1">
      <c r="A110" s="5" t="s">
        <v>418</v>
      </c>
      <c r="B110" s="5">
        <v>2021</v>
      </c>
      <c r="C110" s="11">
        <v>22</v>
      </c>
      <c r="D110" s="5" t="s">
        <v>383</v>
      </c>
      <c r="E110" s="5" t="s">
        <v>419</v>
      </c>
      <c r="F110" s="5" t="s">
        <v>420</v>
      </c>
      <c r="G110" s="5" t="s">
        <v>61</v>
      </c>
      <c r="H110" s="5" t="s">
        <v>6</v>
      </c>
      <c r="I110" s="12" t="s">
        <v>421</v>
      </c>
      <c r="K110" s="5" t="s">
        <v>572</v>
      </c>
    </row>
    <row r="111" spans="1:11" s="5" customFormat="1">
      <c r="A111" s="5" t="s">
        <v>422</v>
      </c>
      <c r="B111" s="5">
        <v>2021</v>
      </c>
      <c r="C111" s="11">
        <v>13</v>
      </c>
      <c r="D111" s="5" t="s">
        <v>383</v>
      </c>
      <c r="E111" s="5" t="s">
        <v>423</v>
      </c>
      <c r="F111" s="5" t="s">
        <v>424</v>
      </c>
      <c r="G111" s="5" t="s">
        <v>61</v>
      </c>
      <c r="H111" s="5" t="s">
        <v>6</v>
      </c>
      <c r="I111" s="12" t="s">
        <v>425</v>
      </c>
      <c r="K111" s="5" t="s">
        <v>573</v>
      </c>
    </row>
    <row r="112" spans="1:11">
      <c r="A112" t="s">
        <v>426</v>
      </c>
      <c r="B112">
        <v>11</v>
      </c>
      <c r="C112">
        <f>SUM(C101:C111)</f>
        <v>1759</v>
      </c>
    </row>
    <row r="114" spans="1:9">
      <c r="A114" s="5" t="s">
        <v>216</v>
      </c>
      <c r="B114" s="5" t="s">
        <v>208</v>
      </c>
      <c r="C114" s="6" t="s">
        <v>209</v>
      </c>
      <c r="D114" s="5" t="s">
        <v>210</v>
      </c>
      <c r="E114" s="5" t="s">
        <v>211</v>
      </c>
      <c r="F114" s="5" t="s">
        <v>212</v>
      </c>
      <c r="G114" s="5" t="s">
        <v>213</v>
      </c>
      <c r="H114" s="5" t="s">
        <v>214</v>
      </c>
      <c r="I114" s="7" t="s">
        <v>215</v>
      </c>
    </row>
    <row r="115" spans="1:9">
      <c r="A115" t="s">
        <v>43</v>
      </c>
      <c r="B115">
        <v>1952</v>
      </c>
      <c r="C115" s="3">
        <v>2574</v>
      </c>
      <c r="D115" t="s">
        <v>19</v>
      </c>
      <c r="E115" t="s">
        <v>427</v>
      </c>
      <c r="F115" t="s">
        <v>428</v>
      </c>
      <c r="G115" t="s">
        <v>61</v>
      </c>
      <c r="H115" t="s">
        <v>6</v>
      </c>
      <c r="I115" s="4" t="s">
        <v>429</v>
      </c>
    </row>
    <row r="116" spans="1:9">
      <c r="A116" t="s">
        <v>18</v>
      </c>
      <c r="B116">
        <v>1973</v>
      </c>
      <c r="C116" s="3">
        <v>18473</v>
      </c>
      <c r="D116" t="s">
        <v>19</v>
      </c>
      <c r="E116" t="s">
        <v>430</v>
      </c>
      <c r="F116" t="s">
        <v>115</v>
      </c>
      <c r="G116" t="s">
        <v>61</v>
      </c>
      <c r="H116" t="s">
        <v>6</v>
      </c>
      <c r="I116" s="4" t="s">
        <v>431</v>
      </c>
    </row>
    <row r="117" spans="1:9">
      <c r="A117" t="s">
        <v>27</v>
      </c>
      <c r="B117">
        <v>1990</v>
      </c>
      <c r="C117" s="3">
        <v>8468</v>
      </c>
      <c r="D117" t="s">
        <v>19</v>
      </c>
      <c r="E117" t="s">
        <v>432</v>
      </c>
      <c r="F117" t="s">
        <v>433</v>
      </c>
      <c r="G117" t="s">
        <v>123</v>
      </c>
      <c r="H117" t="s">
        <v>6</v>
      </c>
      <c r="I117" s="4" t="s">
        <v>434</v>
      </c>
    </row>
    <row r="118" spans="1:9">
      <c r="A118" t="s">
        <v>435</v>
      </c>
      <c r="B118">
        <v>2008</v>
      </c>
      <c r="C118" s="3">
        <v>1438</v>
      </c>
      <c r="D118" t="s">
        <v>19</v>
      </c>
      <c r="E118" t="s">
        <v>436</v>
      </c>
      <c r="F118" t="s">
        <v>437</v>
      </c>
      <c r="G118" t="s">
        <v>194</v>
      </c>
      <c r="H118" t="s">
        <v>6</v>
      </c>
      <c r="I118" s="4" t="s">
        <v>438</v>
      </c>
    </row>
    <row r="119" spans="1:9">
      <c r="A119" t="s">
        <v>439</v>
      </c>
      <c r="B119">
        <v>4</v>
      </c>
      <c r="C119">
        <f>SUM(C115:C118)</f>
        <v>30953</v>
      </c>
    </row>
    <row r="121" spans="1:9">
      <c r="A121" s="5" t="s">
        <v>216</v>
      </c>
      <c r="B121" s="5" t="s">
        <v>208</v>
      </c>
      <c r="C121" s="6" t="s">
        <v>209</v>
      </c>
      <c r="D121" s="5" t="s">
        <v>210</v>
      </c>
      <c r="E121" s="5" t="s">
        <v>211</v>
      </c>
      <c r="F121" s="5" t="s">
        <v>212</v>
      </c>
      <c r="G121" s="5" t="s">
        <v>213</v>
      </c>
      <c r="H121" s="5" t="s">
        <v>214</v>
      </c>
      <c r="I121" s="7" t="s">
        <v>215</v>
      </c>
    </row>
    <row r="122" spans="1:9">
      <c r="A122" t="s">
        <v>440</v>
      </c>
      <c r="B122">
        <v>1974</v>
      </c>
      <c r="C122" s="3">
        <v>495</v>
      </c>
      <c r="D122" t="s">
        <v>29</v>
      </c>
      <c r="E122" t="s">
        <v>71</v>
      </c>
      <c r="F122" t="s">
        <v>72</v>
      </c>
      <c r="G122" t="s">
        <v>69</v>
      </c>
      <c r="H122" t="s">
        <v>6</v>
      </c>
      <c r="I122" s="4" t="s">
        <v>441</v>
      </c>
    </row>
    <row r="123" spans="1:9">
      <c r="A123" t="s">
        <v>442</v>
      </c>
      <c r="B123">
        <v>1978</v>
      </c>
      <c r="C123" s="3">
        <v>991</v>
      </c>
      <c r="D123" t="s">
        <v>29</v>
      </c>
      <c r="E123" t="s">
        <v>71</v>
      </c>
      <c r="F123" t="s">
        <v>72</v>
      </c>
      <c r="G123" t="s">
        <v>61</v>
      </c>
      <c r="H123" t="s">
        <v>6</v>
      </c>
      <c r="I123" s="4" t="s">
        <v>443</v>
      </c>
    </row>
    <row r="124" spans="1:9">
      <c r="A124" t="s">
        <v>28</v>
      </c>
      <c r="B124">
        <v>1998</v>
      </c>
      <c r="C124" s="3">
        <v>8267</v>
      </c>
      <c r="D124" t="s">
        <v>29</v>
      </c>
      <c r="E124" t="s">
        <v>444</v>
      </c>
      <c r="F124" t="s">
        <v>445</v>
      </c>
      <c r="G124" t="s">
        <v>61</v>
      </c>
      <c r="H124" t="s">
        <v>6</v>
      </c>
      <c r="I124" s="4" t="s">
        <v>446</v>
      </c>
    </row>
    <row r="125" spans="1:9">
      <c r="A125" t="s">
        <v>447</v>
      </c>
      <c r="B125">
        <v>2014</v>
      </c>
      <c r="C125" s="3">
        <v>339</v>
      </c>
      <c r="D125" t="s">
        <v>29</v>
      </c>
      <c r="E125" t="s">
        <v>71</v>
      </c>
      <c r="F125" t="s">
        <v>72</v>
      </c>
      <c r="G125" t="s">
        <v>61</v>
      </c>
      <c r="H125" t="s">
        <v>6</v>
      </c>
      <c r="I125" s="4" t="s">
        <v>448</v>
      </c>
    </row>
    <row r="126" spans="1:9">
      <c r="A126" t="s">
        <v>449</v>
      </c>
      <c r="B126">
        <v>4</v>
      </c>
      <c r="C126">
        <f>SUM(C122:C125)</f>
        <v>10092</v>
      </c>
    </row>
    <row r="128" spans="1:9">
      <c r="A128" s="5" t="s">
        <v>216</v>
      </c>
      <c r="B128" s="5" t="s">
        <v>208</v>
      </c>
      <c r="C128" s="6" t="s">
        <v>209</v>
      </c>
      <c r="D128" s="5" t="s">
        <v>210</v>
      </c>
      <c r="E128" s="5" t="s">
        <v>211</v>
      </c>
      <c r="F128" s="5" t="s">
        <v>212</v>
      </c>
      <c r="G128" s="5" t="s">
        <v>213</v>
      </c>
      <c r="H128" s="5" t="s">
        <v>214</v>
      </c>
      <c r="I128" s="7" t="s">
        <v>215</v>
      </c>
    </row>
    <row r="129" spans="1:11">
      <c r="A129" t="s">
        <v>463</v>
      </c>
      <c r="B129">
        <v>2013</v>
      </c>
      <c r="C129" s="3">
        <v>1172</v>
      </c>
      <c r="D129" t="s">
        <v>450</v>
      </c>
      <c r="E129" t="s">
        <v>451</v>
      </c>
      <c r="F129" t="s">
        <v>452</v>
      </c>
      <c r="G129" t="s">
        <v>123</v>
      </c>
      <c r="H129" t="s">
        <v>6</v>
      </c>
      <c r="I129" s="4" t="s">
        <v>453</v>
      </c>
    </row>
    <row r="130" spans="1:11">
      <c r="A130" t="s">
        <v>464</v>
      </c>
      <c r="B130">
        <v>2013</v>
      </c>
      <c r="C130" s="3">
        <v>392</v>
      </c>
      <c r="D130" t="s">
        <v>450</v>
      </c>
      <c r="E130" t="s">
        <v>454</v>
      </c>
      <c r="F130" t="s">
        <v>455</v>
      </c>
      <c r="G130" t="s">
        <v>123</v>
      </c>
      <c r="H130" t="s">
        <v>6</v>
      </c>
      <c r="I130" s="4" t="s">
        <v>456</v>
      </c>
    </row>
    <row r="131" spans="1:11">
      <c r="A131" t="s">
        <v>465</v>
      </c>
      <c r="B131">
        <v>2013</v>
      </c>
      <c r="C131" s="3">
        <v>204</v>
      </c>
      <c r="D131" t="s">
        <v>450</v>
      </c>
      <c r="E131" t="s">
        <v>457</v>
      </c>
      <c r="F131" t="s">
        <v>458</v>
      </c>
      <c r="G131" t="s">
        <v>123</v>
      </c>
      <c r="H131" t="s">
        <v>6</v>
      </c>
      <c r="I131" s="4" t="s">
        <v>459</v>
      </c>
    </row>
    <row r="132" spans="1:11">
      <c r="A132" t="s">
        <v>466</v>
      </c>
      <c r="B132">
        <v>2014</v>
      </c>
      <c r="C132" s="3">
        <v>161</v>
      </c>
      <c r="D132" t="s">
        <v>450</v>
      </c>
      <c r="E132" t="s">
        <v>460</v>
      </c>
      <c r="F132" t="s">
        <v>461</v>
      </c>
      <c r="G132" t="s">
        <v>123</v>
      </c>
      <c r="H132" t="s">
        <v>6</v>
      </c>
      <c r="I132" s="4" t="s">
        <v>462</v>
      </c>
    </row>
    <row r="133" spans="1:11">
      <c r="A133" t="s">
        <v>467</v>
      </c>
      <c r="B133">
        <v>4</v>
      </c>
      <c r="C133">
        <f>SUM(C129:C132)</f>
        <v>1929</v>
      </c>
    </row>
    <row r="135" spans="1:11">
      <c r="A135" s="5" t="s">
        <v>11</v>
      </c>
      <c r="B135" s="5" t="s">
        <v>208</v>
      </c>
      <c r="C135" s="6" t="s">
        <v>209</v>
      </c>
      <c r="D135" s="5" t="s">
        <v>210</v>
      </c>
      <c r="E135" s="5" t="s">
        <v>211</v>
      </c>
      <c r="F135" s="5" t="s">
        <v>212</v>
      </c>
      <c r="G135" s="5" t="s">
        <v>213</v>
      </c>
      <c r="H135" s="5" t="s">
        <v>214</v>
      </c>
      <c r="I135" s="7" t="s">
        <v>215</v>
      </c>
    </row>
    <row r="136" spans="1:11">
      <c r="A136" t="s">
        <v>484</v>
      </c>
      <c r="B136">
        <v>2011</v>
      </c>
      <c r="C136" s="3">
        <v>91</v>
      </c>
      <c r="D136" t="s">
        <v>468</v>
      </c>
      <c r="E136" t="s">
        <v>469</v>
      </c>
      <c r="F136" t="s">
        <v>470</v>
      </c>
      <c r="G136" t="s">
        <v>123</v>
      </c>
      <c r="H136" t="s">
        <v>6</v>
      </c>
      <c r="I136" s="4" t="s">
        <v>471</v>
      </c>
    </row>
    <row r="137" spans="1:11">
      <c r="A137" t="s">
        <v>485</v>
      </c>
      <c r="B137">
        <v>2014</v>
      </c>
      <c r="C137" s="3">
        <v>622</v>
      </c>
      <c r="D137" t="s">
        <v>468</v>
      </c>
      <c r="E137" t="s">
        <v>472</v>
      </c>
      <c r="F137" t="s">
        <v>473</v>
      </c>
      <c r="G137" t="s">
        <v>123</v>
      </c>
      <c r="H137" t="s">
        <v>6</v>
      </c>
      <c r="I137" s="4" t="s">
        <v>474</v>
      </c>
    </row>
    <row r="138" spans="1:11">
      <c r="A138" t="s">
        <v>486</v>
      </c>
      <c r="B138">
        <v>2016</v>
      </c>
      <c r="C138" s="3">
        <v>413</v>
      </c>
      <c r="D138" t="s">
        <v>468</v>
      </c>
      <c r="E138" t="s">
        <v>475</v>
      </c>
      <c r="F138" t="s">
        <v>476</v>
      </c>
      <c r="G138" t="s">
        <v>123</v>
      </c>
      <c r="H138" t="s">
        <v>6</v>
      </c>
      <c r="I138" s="4" t="s">
        <v>477</v>
      </c>
    </row>
    <row r="139" spans="1:11" s="5" customFormat="1">
      <c r="A139" s="5" t="s">
        <v>487</v>
      </c>
      <c r="B139" s="5">
        <v>2020</v>
      </c>
      <c r="C139" s="11">
        <v>8</v>
      </c>
      <c r="D139" s="5" t="s">
        <v>468</v>
      </c>
      <c r="E139" s="5" t="s">
        <v>478</v>
      </c>
      <c r="F139" s="5" t="s">
        <v>479</v>
      </c>
      <c r="G139" s="5" t="s">
        <v>61</v>
      </c>
      <c r="H139" s="5" t="s">
        <v>6</v>
      </c>
      <c r="I139" s="12" t="s">
        <v>480</v>
      </c>
      <c r="K139" s="5" t="s">
        <v>574</v>
      </c>
    </row>
    <row r="140" spans="1:11" s="5" customFormat="1">
      <c r="A140" s="5" t="s">
        <v>488</v>
      </c>
      <c r="B140" s="5">
        <v>2021</v>
      </c>
      <c r="C140" s="11">
        <v>127</v>
      </c>
      <c r="D140" s="5" t="s">
        <v>468</v>
      </c>
      <c r="E140" s="5" t="s">
        <v>481</v>
      </c>
      <c r="F140" s="5" t="s">
        <v>482</v>
      </c>
      <c r="G140" s="5" t="s">
        <v>123</v>
      </c>
      <c r="H140" s="5" t="s">
        <v>6</v>
      </c>
      <c r="I140" s="12" t="s">
        <v>483</v>
      </c>
      <c r="K140" s="5" t="s">
        <v>575</v>
      </c>
    </row>
    <row r="141" spans="1:11">
      <c r="A141" t="s">
        <v>489</v>
      </c>
      <c r="B141">
        <v>5</v>
      </c>
      <c r="C141">
        <f>SUM(C136:C140)</f>
        <v>1261</v>
      </c>
    </row>
    <row r="143" spans="1:11">
      <c r="A143" s="5" t="s">
        <v>11</v>
      </c>
      <c r="B143" s="5" t="s">
        <v>208</v>
      </c>
      <c r="C143" s="6" t="s">
        <v>209</v>
      </c>
      <c r="D143" s="5" t="s">
        <v>210</v>
      </c>
      <c r="E143" s="5" t="s">
        <v>211</v>
      </c>
      <c r="F143" s="5" t="s">
        <v>212</v>
      </c>
      <c r="G143" s="5" t="s">
        <v>213</v>
      </c>
      <c r="H143" s="5" t="s">
        <v>214</v>
      </c>
      <c r="I143" s="7" t="s">
        <v>215</v>
      </c>
    </row>
    <row r="144" spans="1:11">
      <c r="A144" t="s">
        <v>20</v>
      </c>
      <c r="B144">
        <v>1965</v>
      </c>
      <c r="C144" s="3">
        <v>15857</v>
      </c>
      <c r="D144" t="s">
        <v>21</v>
      </c>
      <c r="E144" t="s">
        <v>71</v>
      </c>
      <c r="F144" t="s">
        <v>72</v>
      </c>
      <c r="G144" t="s">
        <v>69</v>
      </c>
      <c r="H144" t="s">
        <v>6</v>
      </c>
      <c r="I144" s="4" t="s">
        <v>490</v>
      </c>
    </row>
    <row r="145" spans="1:11">
      <c r="A145" t="s">
        <v>32</v>
      </c>
      <c r="B145">
        <v>1986</v>
      </c>
      <c r="C145" s="3">
        <v>8056</v>
      </c>
      <c r="D145" t="s">
        <v>21</v>
      </c>
      <c r="E145" t="s">
        <v>491</v>
      </c>
      <c r="F145" t="s">
        <v>492</v>
      </c>
      <c r="G145" t="s">
        <v>61</v>
      </c>
      <c r="H145" t="s">
        <v>6</v>
      </c>
      <c r="I145" s="4" t="s">
        <v>493</v>
      </c>
    </row>
    <row r="146" spans="1:11">
      <c r="A146" t="s">
        <v>494</v>
      </c>
      <c r="B146">
        <v>2000</v>
      </c>
      <c r="C146" s="3">
        <v>1212</v>
      </c>
      <c r="D146" t="s">
        <v>21</v>
      </c>
      <c r="E146" t="s">
        <v>495</v>
      </c>
      <c r="F146" t="s">
        <v>136</v>
      </c>
      <c r="G146" t="s">
        <v>61</v>
      </c>
      <c r="H146" t="s">
        <v>6</v>
      </c>
      <c r="I146" s="4" t="s">
        <v>496</v>
      </c>
    </row>
    <row r="147" spans="1:11">
      <c r="A147" t="s">
        <v>497</v>
      </c>
      <c r="B147">
        <v>3</v>
      </c>
      <c r="C147">
        <f>SUM(C144:C146)</f>
        <v>25125</v>
      </c>
    </row>
    <row r="149" spans="1:11">
      <c r="A149" s="5" t="s">
        <v>11</v>
      </c>
      <c r="B149" s="5" t="s">
        <v>208</v>
      </c>
      <c r="C149" s="6" t="s">
        <v>209</v>
      </c>
      <c r="D149" s="5" t="s">
        <v>210</v>
      </c>
      <c r="E149" s="5" t="s">
        <v>211</v>
      </c>
      <c r="F149" s="5" t="s">
        <v>212</v>
      </c>
      <c r="G149" s="5" t="s">
        <v>213</v>
      </c>
      <c r="H149" s="5" t="s">
        <v>214</v>
      </c>
      <c r="I149" s="7" t="s">
        <v>215</v>
      </c>
    </row>
    <row r="150" spans="1:11">
      <c r="A150" t="s">
        <v>498</v>
      </c>
      <c r="B150">
        <v>2001</v>
      </c>
      <c r="C150" s="3">
        <v>538</v>
      </c>
      <c r="D150" t="s">
        <v>499</v>
      </c>
      <c r="E150" t="s">
        <v>500</v>
      </c>
      <c r="F150" t="s">
        <v>501</v>
      </c>
      <c r="G150" t="s">
        <v>61</v>
      </c>
      <c r="H150" t="s">
        <v>6</v>
      </c>
      <c r="I150" s="4" t="s">
        <v>502</v>
      </c>
    </row>
    <row r="151" spans="1:11">
      <c r="A151" t="s">
        <v>503</v>
      </c>
      <c r="B151">
        <v>2013</v>
      </c>
      <c r="C151" s="3">
        <v>87</v>
      </c>
      <c r="D151" t="s">
        <v>499</v>
      </c>
      <c r="E151" t="s">
        <v>504</v>
      </c>
      <c r="F151" t="s">
        <v>505</v>
      </c>
      <c r="G151" t="s">
        <v>123</v>
      </c>
      <c r="H151" t="s">
        <v>6</v>
      </c>
      <c r="I151" s="4" t="s">
        <v>506</v>
      </c>
    </row>
    <row r="152" spans="1:11">
      <c r="A152" t="s">
        <v>507</v>
      </c>
      <c r="B152">
        <v>2015</v>
      </c>
      <c r="C152" s="3">
        <v>127</v>
      </c>
      <c r="D152" t="s">
        <v>499</v>
      </c>
      <c r="E152" t="s">
        <v>508</v>
      </c>
      <c r="F152" t="s">
        <v>509</v>
      </c>
      <c r="G152" t="s">
        <v>123</v>
      </c>
      <c r="H152" t="s">
        <v>6</v>
      </c>
      <c r="I152" s="4" t="s">
        <v>510</v>
      </c>
    </row>
    <row r="153" spans="1:11" s="5" customFormat="1">
      <c r="A153" s="5" t="s">
        <v>511</v>
      </c>
      <c r="B153" s="5">
        <v>2017</v>
      </c>
      <c r="C153" s="11">
        <v>13</v>
      </c>
      <c r="D153" s="5" t="s">
        <v>499</v>
      </c>
      <c r="E153" s="5" t="s">
        <v>512</v>
      </c>
      <c r="F153" s="5" t="s">
        <v>513</v>
      </c>
      <c r="G153" s="5" t="s">
        <v>61</v>
      </c>
      <c r="H153" s="5" t="s">
        <v>6</v>
      </c>
      <c r="I153" s="12" t="s">
        <v>514</v>
      </c>
      <c r="K153" s="5" t="s">
        <v>576</v>
      </c>
    </row>
    <row r="154" spans="1:11" s="5" customFormat="1">
      <c r="A154" s="5" t="s">
        <v>515</v>
      </c>
      <c r="B154" s="5">
        <v>2020</v>
      </c>
      <c r="C154" s="11">
        <v>39</v>
      </c>
      <c r="D154" s="5" t="s">
        <v>499</v>
      </c>
      <c r="E154" s="5" t="s">
        <v>516</v>
      </c>
      <c r="F154" s="5" t="s">
        <v>517</v>
      </c>
      <c r="G154" s="5" t="s">
        <v>61</v>
      </c>
      <c r="H154" s="5" t="s">
        <v>6</v>
      </c>
      <c r="I154" s="12" t="s">
        <v>518</v>
      </c>
      <c r="K154" s="5" t="s">
        <v>577</v>
      </c>
    </row>
    <row r="155" spans="1:11" s="5" customFormat="1">
      <c r="A155" s="5" t="s">
        <v>519</v>
      </c>
      <c r="B155" s="5">
        <v>2021</v>
      </c>
      <c r="C155" s="11">
        <v>3</v>
      </c>
      <c r="D155" s="5" t="s">
        <v>499</v>
      </c>
      <c r="E155" s="5" t="s">
        <v>520</v>
      </c>
      <c r="F155" s="5" t="s">
        <v>521</v>
      </c>
      <c r="G155" s="5" t="s">
        <v>61</v>
      </c>
      <c r="H155" s="5" t="s">
        <v>6</v>
      </c>
      <c r="I155" s="12" t="s">
        <v>522</v>
      </c>
      <c r="K155" s="5" t="s">
        <v>578</v>
      </c>
    </row>
    <row r="156" spans="1:11">
      <c r="A156" s="5" t="s">
        <v>523</v>
      </c>
      <c r="B156" s="5">
        <v>6</v>
      </c>
      <c r="C156">
        <f>SUM(C150:C155)</f>
        <v>807</v>
      </c>
    </row>
    <row r="158" spans="1:11">
      <c r="A158" s="5" t="s">
        <v>11</v>
      </c>
      <c r="B158" s="5" t="s">
        <v>208</v>
      </c>
      <c r="C158" s="6" t="s">
        <v>209</v>
      </c>
      <c r="D158" s="5" t="s">
        <v>210</v>
      </c>
      <c r="E158" s="5" t="s">
        <v>211</v>
      </c>
      <c r="F158" s="5" t="s">
        <v>212</v>
      </c>
      <c r="G158" s="5" t="s">
        <v>213</v>
      </c>
      <c r="H158" s="5" t="s">
        <v>214</v>
      </c>
      <c r="I158" s="7" t="s">
        <v>215</v>
      </c>
    </row>
    <row r="159" spans="1:11">
      <c r="A159" t="s">
        <v>524</v>
      </c>
      <c r="B159">
        <v>2015</v>
      </c>
      <c r="C159" s="3">
        <v>5</v>
      </c>
      <c r="D159" t="s">
        <v>525</v>
      </c>
      <c r="E159" t="s">
        <v>526</v>
      </c>
      <c r="F159" t="s">
        <v>527</v>
      </c>
      <c r="G159" t="s">
        <v>123</v>
      </c>
      <c r="H159" t="s">
        <v>6</v>
      </c>
      <c r="I159" s="13"/>
    </row>
    <row r="160" spans="1:11">
      <c r="A160" t="s">
        <v>528</v>
      </c>
      <c r="B160">
        <v>2015</v>
      </c>
      <c r="C160" s="3">
        <v>7</v>
      </c>
      <c r="D160" t="s">
        <v>525</v>
      </c>
      <c r="E160" t="s">
        <v>529</v>
      </c>
      <c r="F160" t="s">
        <v>530</v>
      </c>
      <c r="G160" t="s">
        <v>123</v>
      </c>
      <c r="H160" t="s">
        <v>6</v>
      </c>
      <c r="I160" s="4" t="s">
        <v>531</v>
      </c>
    </row>
    <row r="161" spans="1:11 16384:16384">
      <c r="A161" t="s">
        <v>532</v>
      </c>
      <c r="B161">
        <v>2016</v>
      </c>
      <c r="C161" s="3">
        <v>47</v>
      </c>
      <c r="D161" t="s">
        <v>525</v>
      </c>
      <c r="E161" t="s">
        <v>533</v>
      </c>
      <c r="F161" t="s">
        <v>534</v>
      </c>
      <c r="G161" t="s">
        <v>123</v>
      </c>
      <c r="H161" t="s">
        <v>6</v>
      </c>
      <c r="I161" s="4" t="s">
        <v>535</v>
      </c>
    </row>
    <row r="162" spans="1:11 16384:16384">
      <c r="A162" t="s">
        <v>536</v>
      </c>
      <c r="B162">
        <v>3</v>
      </c>
      <c r="C162">
        <f>SUM(C159:C161)</f>
        <v>59</v>
      </c>
    </row>
    <row r="164" spans="1:11 16384:16384">
      <c r="A164" s="5" t="s">
        <v>11</v>
      </c>
      <c r="B164" s="5" t="s">
        <v>208</v>
      </c>
      <c r="C164" s="6" t="s">
        <v>209</v>
      </c>
      <c r="D164" s="5" t="s">
        <v>210</v>
      </c>
      <c r="E164" s="5" t="s">
        <v>211</v>
      </c>
      <c r="F164" s="5" t="s">
        <v>212</v>
      </c>
      <c r="G164" s="5" t="s">
        <v>213</v>
      </c>
      <c r="H164" s="5" t="s">
        <v>214</v>
      </c>
      <c r="I164" s="7" t="s">
        <v>215</v>
      </c>
    </row>
    <row r="165" spans="1:11 16384:16384">
      <c r="A165" t="s">
        <v>537</v>
      </c>
      <c r="B165">
        <v>2015</v>
      </c>
      <c r="C165" s="3">
        <v>120</v>
      </c>
      <c r="D165" t="s">
        <v>538</v>
      </c>
      <c r="E165" t="s">
        <v>539</v>
      </c>
      <c r="F165" t="s">
        <v>540</v>
      </c>
      <c r="G165" t="s">
        <v>123</v>
      </c>
      <c r="H165" t="s">
        <v>6</v>
      </c>
      <c r="I165" s="4" t="s">
        <v>541</v>
      </c>
    </row>
    <row r="166" spans="1:11 16384:16384">
      <c r="A166" t="s">
        <v>542</v>
      </c>
      <c r="B166">
        <v>2015</v>
      </c>
      <c r="C166" s="3">
        <v>178</v>
      </c>
      <c r="D166" t="s">
        <v>538</v>
      </c>
      <c r="E166" t="s">
        <v>543</v>
      </c>
      <c r="F166" t="s">
        <v>544</v>
      </c>
      <c r="G166" t="s">
        <v>123</v>
      </c>
      <c r="H166" t="s">
        <v>6</v>
      </c>
      <c r="I166" s="4" t="s">
        <v>545</v>
      </c>
    </row>
    <row r="167" spans="1:11 16384:16384">
      <c r="A167" t="s">
        <v>546</v>
      </c>
      <c r="B167">
        <v>2015</v>
      </c>
      <c r="C167" s="3">
        <v>98</v>
      </c>
      <c r="D167" t="s">
        <v>538</v>
      </c>
      <c r="E167" t="s">
        <v>547</v>
      </c>
      <c r="F167" t="s">
        <v>548</v>
      </c>
      <c r="G167" t="s">
        <v>123</v>
      </c>
      <c r="H167" t="s">
        <v>6</v>
      </c>
      <c r="I167" s="4" t="s">
        <v>549</v>
      </c>
    </row>
    <row r="168" spans="1:11 16384:16384" s="5" customFormat="1">
      <c r="A168" s="5" t="s">
        <v>550</v>
      </c>
      <c r="B168" s="5">
        <v>2020</v>
      </c>
      <c r="C168" s="11">
        <v>9</v>
      </c>
      <c r="D168" s="5" t="s">
        <v>538</v>
      </c>
      <c r="E168" s="5" t="s">
        <v>551</v>
      </c>
      <c r="F168" s="5" t="s">
        <v>552</v>
      </c>
      <c r="G168" s="5" t="s">
        <v>61</v>
      </c>
      <c r="H168" s="5" t="s">
        <v>6</v>
      </c>
      <c r="I168" s="12" t="s">
        <v>553</v>
      </c>
      <c r="K168" s="5" t="s">
        <v>579</v>
      </c>
      <c r="XFD168" s="5">
        <f>SUM(B168:XFC168)</f>
        <v>2029</v>
      </c>
    </row>
    <row r="169" spans="1:11 16384:16384">
      <c r="A169" t="s">
        <v>554</v>
      </c>
      <c r="B169">
        <v>4</v>
      </c>
      <c r="C169">
        <f>SUM(C165:C168)</f>
        <v>405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3B7C-9175-48E6-8BE5-0B5561D74F65}">
  <dimension ref="A1:P259"/>
  <sheetViews>
    <sheetView topLeftCell="A209" workbookViewId="0">
      <selection activeCell="L257" sqref="L257"/>
    </sheetView>
  </sheetViews>
  <sheetFormatPr defaultRowHeight="13.9"/>
  <cols>
    <col min="1" max="1" width="59.1328125" customWidth="1"/>
    <col min="4" max="4" width="34.19921875" customWidth="1"/>
    <col min="5" max="5" width="40.46484375" customWidth="1"/>
    <col min="6" max="6" width="109.53125" customWidth="1"/>
  </cols>
  <sheetData>
    <row r="1" spans="1:9">
      <c r="A1" t="s">
        <v>581</v>
      </c>
    </row>
    <row r="2" spans="1:9">
      <c r="A2" t="s">
        <v>20</v>
      </c>
      <c r="B2">
        <v>1965</v>
      </c>
      <c r="C2" s="3">
        <v>15857</v>
      </c>
      <c r="D2" t="s">
        <v>21</v>
      </c>
      <c r="E2" t="s">
        <v>71</v>
      </c>
      <c r="F2" t="s">
        <v>72</v>
      </c>
      <c r="G2" t="s">
        <v>69</v>
      </c>
      <c r="H2" t="s">
        <v>6</v>
      </c>
      <c r="I2" s="4" t="s">
        <v>490</v>
      </c>
    </row>
    <row r="3" spans="1:9">
      <c r="A3" t="s">
        <v>587</v>
      </c>
      <c r="B3">
        <v>1965</v>
      </c>
      <c r="C3" s="3">
        <v>712</v>
      </c>
      <c r="D3" t="s">
        <v>590</v>
      </c>
      <c r="E3" t="s">
        <v>71</v>
      </c>
      <c r="F3" t="s">
        <v>72</v>
      </c>
      <c r="G3" t="s">
        <v>61</v>
      </c>
      <c r="H3" t="s">
        <v>6</v>
      </c>
      <c r="I3" s="4" t="s">
        <v>591</v>
      </c>
    </row>
    <row r="4" spans="1:9">
      <c r="A4" t="s">
        <v>30</v>
      </c>
      <c r="B4">
        <v>1969</v>
      </c>
      <c r="C4" s="3">
        <v>8239</v>
      </c>
      <c r="D4" t="s">
        <v>31</v>
      </c>
      <c r="E4" t="s">
        <v>592</v>
      </c>
      <c r="F4" t="s">
        <v>593</v>
      </c>
      <c r="G4" t="s">
        <v>123</v>
      </c>
      <c r="H4" t="s">
        <v>6</v>
      </c>
      <c r="I4" s="4" t="s">
        <v>594</v>
      </c>
    </row>
    <row r="5" spans="1:9">
      <c r="A5" t="s">
        <v>13</v>
      </c>
      <c r="B5">
        <v>1970</v>
      </c>
      <c r="C5" s="3">
        <v>34622</v>
      </c>
      <c r="D5" t="s">
        <v>14</v>
      </c>
      <c r="E5" t="s">
        <v>71</v>
      </c>
      <c r="F5" t="s">
        <v>72</v>
      </c>
      <c r="G5" t="s">
        <v>69</v>
      </c>
      <c r="H5" t="s">
        <v>6</v>
      </c>
      <c r="I5" s="4" t="s">
        <v>73</v>
      </c>
    </row>
    <row r="6" spans="1:9">
      <c r="A6" t="s">
        <v>82</v>
      </c>
      <c r="B6">
        <v>1972</v>
      </c>
      <c r="C6" s="3">
        <v>1030</v>
      </c>
      <c r="D6" t="s">
        <v>14</v>
      </c>
      <c r="E6" t="s">
        <v>71</v>
      </c>
      <c r="F6" t="s">
        <v>72</v>
      </c>
      <c r="G6" t="s">
        <v>69</v>
      </c>
      <c r="H6" t="s">
        <v>6</v>
      </c>
      <c r="I6" s="4" t="s">
        <v>83</v>
      </c>
    </row>
    <row r="7" spans="1:9">
      <c r="A7" t="s">
        <v>18</v>
      </c>
      <c r="B7">
        <v>1973</v>
      </c>
      <c r="C7" s="3">
        <v>18473</v>
      </c>
      <c r="D7" t="s">
        <v>19</v>
      </c>
      <c r="E7" t="s">
        <v>430</v>
      </c>
      <c r="F7" t="s">
        <v>115</v>
      </c>
      <c r="G7" t="s">
        <v>61</v>
      </c>
      <c r="H7" t="s">
        <v>6</v>
      </c>
      <c r="I7" s="4" t="s">
        <v>431</v>
      </c>
    </row>
    <row r="8" spans="1:9">
      <c r="A8" t="s">
        <v>440</v>
      </c>
      <c r="B8">
        <v>1974</v>
      </c>
      <c r="C8" s="3">
        <v>495</v>
      </c>
      <c r="D8" t="s">
        <v>29</v>
      </c>
      <c r="E8" t="s">
        <v>71</v>
      </c>
      <c r="F8" t="s">
        <v>72</v>
      </c>
      <c r="G8" t="s">
        <v>69</v>
      </c>
      <c r="H8" t="s">
        <v>6</v>
      </c>
      <c r="I8" s="4" t="s">
        <v>441</v>
      </c>
    </row>
    <row r="9" spans="1:9">
      <c r="A9" t="s">
        <v>442</v>
      </c>
      <c r="B9">
        <v>1978</v>
      </c>
      <c r="C9" s="3">
        <v>991</v>
      </c>
      <c r="D9" t="s">
        <v>29</v>
      </c>
      <c r="E9" t="s">
        <v>71</v>
      </c>
      <c r="F9" t="s">
        <v>72</v>
      </c>
      <c r="G9" t="s">
        <v>61</v>
      </c>
      <c r="H9" t="s">
        <v>6</v>
      </c>
      <c r="I9" s="4" t="s">
        <v>443</v>
      </c>
    </row>
    <row r="10" spans="1:9">
      <c r="A10" t="s">
        <v>588</v>
      </c>
      <c r="B10">
        <v>1982</v>
      </c>
      <c r="C10" s="3">
        <v>763</v>
      </c>
      <c r="D10" t="s">
        <v>583</v>
      </c>
      <c r="E10" t="s">
        <v>595</v>
      </c>
      <c r="F10" t="s">
        <v>596</v>
      </c>
      <c r="G10" t="s">
        <v>61</v>
      </c>
      <c r="H10" t="s">
        <v>6</v>
      </c>
      <c r="I10" s="4" t="s">
        <v>597</v>
      </c>
    </row>
    <row r="11" spans="1:9">
      <c r="A11" t="s">
        <v>32</v>
      </c>
      <c r="B11">
        <v>1986</v>
      </c>
      <c r="C11" s="3">
        <v>8056</v>
      </c>
      <c r="D11" t="s">
        <v>21</v>
      </c>
      <c r="E11" t="s">
        <v>491</v>
      </c>
      <c r="F11" t="s">
        <v>492</v>
      </c>
      <c r="G11" t="s">
        <v>61</v>
      </c>
      <c r="H11" t="s">
        <v>6</v>
      </c>
      <c r="I11" s="4" t="s">
        <v>493</v>
      </c>
    </row>
    <row r="12" spans="1:9">
      <c r="A12" t="s">
        <v>44</v>
      </c>
      <c r="B12">
        <v>1986</v>
      </c>
      <c r="C12" s="3">
        <v>2403</v>
      </c>
      <c r="D12" t="s">
        <v>24</v>
      </c>
      <c r="E12" t="s">
        <v>221</v>
      </c>
      <c r="F12" t="s">
        <v>222</v>
      </c>
      <c r="G12" t="s">
        <v>61</v>
      </c>
      <c r="H12" t="s">
        <v>6</v>
      </c>
      <c r="I12" s="4" t="s">
        <v>223</v>
      </c>
    </row>
    <row r="13" spans="1:9">
      <c r="A13" t="s">
        <v>231</v>
      </c>
      <c r="B13">
        <v>1988</v>
      </c>
      <c r="C13" s="3">
        <v>4876</v>
      </c>
      <c r="D13" t="s">
        <v>24</v>
      </c>
      <c r="E13" t="s">
        <v>108</v>
      </c>
      <c r="F13" t="s">
        <v>115</v>
      </c>
      <c r="G13" t="s">
        <v>61</v>
      </c>
      <c r="H13" t="s">
        <v>6</v>
      </c>
      <c r="I13" s="4" t="s">
        <v>232</v>
      </c>
    </row>
    <row r="14" spans="1:9">
      <c r="A14" t="s">
        <v>34</v>
      </c>
      <c r="B14">
        <v>1989</v>
      </c>
      <c r="C14" s="3">
        <v>5078</v>
      </c>
      <c r="D14" t="s">
        <v>24</v>
      </c>
      <c r="E14" t="s">
        <v>108</v>
      </c>
      <c r="F14" t="s">
        <v>233</v>
      </c>
      <c r="G14" t="s">
        <v>61</v>
      </c>
      <c r="H14" t="s">
        <v>6</v>
      </c>
      <c r="I14" s="4" t="s">
        <v>234</v>
      </c>
    </row>
    <row r="15" spans="1:9">
      <c r="A15" t="s">
        <v>27</v>
      </c>
      <c r="B15">
        <v>1990</v>
      </c>
      <c r="C15" s="3">
        <v>8468</v>
      </c>
      <c r="D15" t="s">
        <v>19</v>
      </c>
      <c r="E15" t="s">
        <v>432</v>
      </c>
      <c r="F15" t="s">
        <v>433</v>
      </c>
      <c r="G15" t="s">
        <v>123</v>
      </c>
      <c r="H15" t="s">
        <v>6</v>
      </c>
      <c r="I15" s="4" t="s">
        <v>434</v>
      </c>
    </row>
    <row r="16" spans="1:9">
      <c r="A16" t="s">
        <v>107</v>
      </c>
      <c r="B16">
        <v>1992</v>
      </c>
      <c r="C16" s="3">
        <v>25998</v>
      </c>
      <c r="D16" t="s">
        <v>14</v>
      </c>
      <c r="E16" t="s">
        <v>108</v>
      </c>
      <c r="F16" t="s">
        <v>109</v>
      </c>
      <c r="G16" t="s">
        <v>61</v>
      </c>
      <c r="H16" t="s">
        <v>6</v>
      </c>
      <c r="I16" s="4" t="s">
        <v>110</v>
      </c>
    </row>
    <row r="17" spans="1:9">
      <c r="A17" t="s">
        <v>15</v>
      </c>
      <c r="B17">
        <v>1993</v>
      </c>
      <c r="C17" s="3">
        <v>33546</v>
      </c>
      <c r="D17" t="s">
        <v>14</v>
      </c>
      <c r="E17" t="s">
        <v>108</v>
      </c>
      <c r="F17" t="s">
        <v>115</v>
      </c>
      <c r="G17" t="s">
        <v>61</v>
      </c>
      <c r="H17" t="s">
        <v>6</v>
      </c>
      <c r="I17" s="4" t="s">
        <v>116</v>
      </c>
    </row>
    <row r="18" spans="1:9">
      <c r="A18" t="s">
        <v>120</v>
      </c>
      <c r="B18">
        <v>1994</v>
      </c>
      <c r="C18" s="3">
        <v>783</v>
      </c>
      <c r="D18" t="s">
        <v>14</v>
      </c>
      <c r="E18" t="s">
        <v>121</v>
      </c>
      <c r="F18" t="s">
        <v>122</v>
      </c>
      <c r="G18" t="s">
        <v>123</v>
      </c>
      <c r="H18" t="s">
        <v>6</v>
      </c>
      <c r="I18" s="4" t="s">
        <v>124</v>
      </c>
    </row>
    <row r="19" spans="1:9">
      <c r="A19" t="s">
        <v>53</v>
      </c>
      <c r="B19">
        <v>1995</v>
      </c>
      <c r="C19" s="3">
        <v>3374</v>
      </c>
      <c r="D19" t="s">
        <v>354</v>
      </c>
      <c r="E19" t="s">
        <v>71</v>
      </c>
      <c r="F19" t="s">
        <v>72</v>
      </c>
      <c r="G19" t="s">
        <v>69</v>
      </c>
      <c r="H19" t="s">
        <v>6</v>
      </c>
      <c r="I19" s="4" t="s">
        <v>362</v>
      </c>
    </row>
    <row r="20" spans="1:9">
      <c r="A20" t="s">
        <v>125</v>
      </c>
      <c r="B20">
        <v>1995</v>
      </c>
      <c r="C20" s="3">
        <v>5391</v>
      </c>
      <c r="D20" t="s">
        <v>14</v>
      </c>
      <c r="E20" t="s">
        <v>108</v>
      </c>
      <c r="F20" t="s">
        <v>126</v>
      </c>
      <c r="G20" t="s">
        <v>61</v>
      </c>
      <c r="H20" t="s">
        <v>6</v>
      </c>
      <c r="I20" s="4" t="s">
        <v>127</v>
      </c>
    </row>
    <row r="21" spans="1:9">
      <c r="A21" t="s">
        <v>131</v>
      </c>
      <c r="B21">
        <v>1998</v>
      </c>
      <c r="C21" s="3">
        <v>863</v>
      </c>
      <c r="D21" t="s">
        <v>14</v>
      </c>
      <c r="E21" t="s">
        <v>132</v>
      </c>
      <c r="F21" t="s">
        <v>133</v>
      </c>
      <c r="G21" t="s">
        <v>61</v>
      </c>
      <c r="H21" t="s">
        <v>6</v>
      </c>
      <c r="I21" s="4" t="s">
        <v>134</v>
      </c>
    </row>
    <row r="22" spans="1:9">
      <c r="A22" t="s">
        <v>135</v>
      </c>
      <c r="B22">
        <v>1999</v>
      </c>
      <c r="C22" s="3">
        <v>397</v>
      </c>
      <c r="D22" t="s">
        <v>14</v>
      </c>
      <c r="E22" t="s">
        <v>108</v>
      </c>
      <c r="F22" t="s">
        <v>136</v>
      </c>
      <c r="G22" t="s">
        <v>61</v>
      </c>
      <c r="H22" t="s">
        <v>6</v>
      </c>
      <c r="I22" s="4" t="s">
        <v>137</v>
      </c>
    </row>
    <row r="23" spans="1:9">
      <c r="A23" t="s">
        <v>494</v>
      </c>
      <c r="B23">
        <v>2000</v>
      </c>
      <c r="C23" s="3">
        <v>1212</v>
      </c>
      <c r="D23" t="s">
        <v>21</v>
      </c>
      <c r="E23" t="s">
        <v>495</v>
      </c>
      <c r="F23" t="s">
        <v>136</v>
      </c>
      <c r="G23" t="s">
        <v>61</v>
      </c>
      <c r="H23" t="s">
        <v>6</v>
      </c>
      <c r="I23" s="4" t="s">
        <v>496</v>
      </c>
    </row>
    <row r="24" spans="1:9">
      <c r="A24" t="s">
        <v>138</v>
      </c>
      <c r="B24">
        <v>2000</v>
      </c>
      <c r="C24" s="3">
        <v>1551</v>
      </c>
      <c r="D24" t="s">
        <v>14</v>
      </c>
      <c r="E24" t="s">
        <v>139</v>
      </c>
      <c r="F24" t="s">
        <v>140</v>
      </c>
      <c r="G24" t="s">
        <v>61</v>
      </c>
      <c r="H24" t="s">
        <v>6</v>
      </c>
      <c r="I24" s="4" t="s">
        <v>141</v>
      </c>
    </row>
    <row r="25" spans="1:9">
      <c r="A25" t="s">
        <v>251</v>
      </c>
      <c r="B25">
        <v>2003</v>
      </c>
      <c r="C25" s="3">
        <v>1721</v>
      </c>
      <c r="D25" t="s">
        <v>24</v>
      </c>
      <c r="E25" t="s">
        <v>252</v>
      </c>
      <c r="F25" t="s">
        <v>253</v>
      </c>
      <c r="G25" t="s">
        <v>61</v>
      </c>
      <c r="H25" t="s">
        <v>6</v>
      </c>
      <c r="I25" s="4" t="s">
        <v>254</v>
      </c>
    </row>
    <row r="26" spans="1:9">
      <c r="A26" t="s">
        <v>52</v>
      </c>
      <c r="B26">
        <v>2004</v>
      </c>
      <c r="C26" s="3">
        <v>3745</v>
      </c>
      <c r="D26" t="s">
        <v>36</v>
      </c>
      <c r="E26" t="s">
        <v>108</v>
      </c>
      <c r="F26" t="s">
        <v>136</v>
      </c>
      <c r="G26" t="s">
        <v>61</v>
      </c>
      <c r="H26" t="s">
        <v>6</v>
      </c>
      <c r="I26" s="4" t="s">
        <v>598</v>
      </c>
    </row>
    <row r="27" spans="1:9">
      <c r="A27" t="s">
        <v>155</v>
      </c>
      <c r="B27">
        <v>2006</v>
      </c>
      <c r="C27" s="3">
        <v>771</v>
      </c>
      <c r="D27" t="s">
        <v>14</v>
      </c>
      <c r="E27" t="s">
        <v>108</v>
      </c>
      <c r="F27" t="s">
        <v>136</v>
      </c>
      <c r="G27" t="s">
        <v>61</v>
      </c>
      <c r="H27" t="s">
        <v>6</v>
      </c>
      <c r="I27" s="4" t="s">
        <v>156</v>
      </c>
    </row>
    <row r="28" spans="1:9">
      <c r="A28" t="s">
        <v>259</v>
      </c>
      <c r="B28">
        <v>2006</v>
      </c>
      <c r="C28" s="3">
        <v>1336</v>
      </c>
      <c r="D28" t="s">
        <v>24</v>
      </c>
      <c r="E28" t="s">
        <v>108</v>
      </c>
      <c r="F28" t="s">
        <v>260</v>
      </c>
      <c r="G28" t="s">
        <v>61</v>
      </c>
      <c r="H28" t="s">
        <v>6</v>
      </c>
      <c r="I28" s="4" t="s">
        <v>261</v>
      </c>
    </row>
    <row r="29" spans="1:9">
      <c r="A29" t="s">
        <v>165</v>
      </c>
      <c r="B29">
        <v>2008</v>
      </c>
      <c r="C29" s="3">
        <v>1379</v>
      </c>
      <c r="D29" t="s">
        <v>14</v>
      </c>
      <c r="E29" t="s">
        <v>166</v>
      </c>
      <c r="F29" t="s">
        <v>167</v>
      </c>
      <c r="G29" t="s">
        <v>61</v>
      </c>
      <c r="H29" t="s">
        <v>6</v>
      </c>
      <c r="I29" s="4" t="s">
        <v>168</v>
      </c>
    </row>
    <row r="30" spans="1:9">
      <c r="A30" t="s">
        <v>435</v>
      </c>
      <c r="B30">
        <v>2008</v>
      </c>
      <c r="C30" s="3">
        <v>1438</v>
      </c>
      <c r="D30" t="s">
        <v>19</v>
      </c>
      <c r="E30" t="s">
        <v>436</v>
      </c>
      <c r="F30" t="s">
        <v>437</v>
      </c>
      <c r="G30" t="s">
        <v>194</v>
      </c>
      <c r="H30" t="s">
        <v>6</v>
      </c>
      <c r="I30" s="4" t="s">
        <v>438</v>
      </c>
    </row>
    <row r="31" spans="1:9">
      <c r="A31" t="s">
        <v>447</v>
      </c>
      <c r="B31">
        <v>2014</v>
      </c>
      <c r="C31" s="3">
        <v>339</v>
      </c>
      <c r="D31" t="s">
        <v>29</v>
      </c>
      <c r="E31" t="s">
        <v>71</v>
      </c>
      <c r="F31" t="s">
        <v>72</v>
      </c>
      <c r="G31" t="s">
        <v>61</v>
      </c>
      <c r="H31" t="s">
        <v>6</v>
      </c>
      <c r="I31" s="4" t="s">
        <v>448</v>
      </c>
    </row>
    <row r="32" spans="1:9">
      <c r="A32" t="s">
        <v>33</v>
      </c>
      <c r="B32">
        <v>2015</v>
      </c>
      <c r="C32" s="3">
        <v>7423</v>
      </c>
      <c r="D32" t="s">
        <v>24</v>
      </c>
      <c r="E32" t="s">
        <v>108</v>
      </c>
      <c r="F32" t="s">
        <v>136</v>
      </c>
      <c r="G32" t="s">
        <v>61</v>
      </c>
      <c r="H32" t="s">
        <v>6</v>
      </c>
      <c r="I32" s="4" t="s">
        <v>267</v>
      </c>
    </row>
    <row r="33" spans="1:16" s="5" customFormat="1">
      <c r="A33" s="5" t="s">
        <v>582</v>
      </c>
      <c r="B33" s="5">
        <v>2021</v>
      </c>
      <c r="C33" s="11">
        <v>61</v>
      </c>
      <c r="D33" s="5" t="s">
        <v>583</v>
      </c>
      <c r="E33" s="5" t="s">
        <v>584</v>
      </c>
      <c r="F33" s="5" t="s">
        <v>585</v>
      </c>
      <c r="G33" s="5" t="s">
        <v>123</v>
      </c>
      <c r="H33" s="5" t="s">
        <v>6</v>
      </c>
      <c r="I33" s="12" t="s">
        <v>586</v>
      </c>
      <c r="P33" s="5" t="s">
        <v>602</v>
      </c>
    </row>
    <row r="34" spans="1:16">
      <c r="C34">
        <f>SUM(C2:C33)</f>
        <v>201391</v>
      </c>
    </row>
    <row r="36" spans="1:16">
      <c r="A36" t="s">
        <v>603</v>
      </c>
    </row>
    <row r="37" spans="1:16" ht="27.75">
      <c r="A37" t="s">
        <v>231</v>
      </c>
      <c r="B37">
        <v>1988</v>
      </c>
      <c r="C37" s="3">
        <v>4876</v>
      </c>
      <c r="D37" t="s">
        <v>24</v>
      </c>
      <c r="E37" s="14" t="s">
        <v>605</v>
      </c>
      <c r="F37" t="s">
        <v>115</v>
      </c>
      <c r="G37" t="s">
        <v>61</v>
      </c>
      <c r="H37" t="s">
        <v>6</v>
      </c>
      <c r="I37" s="4" t="s">
        <v>232</v>
      </c>
    </row>
    <row r="38" spans="1:16" ht="27.75">
      <c r="A38" t="s">
        <v>34</v>
      </c>
      <c r="B38">
        <v>1989</v>
      </c>
      <c r="C38" s="3">
        <v>5078</v>
      </c>
      <c r="D38" t="s">
        <v>24</v>
      </c>
      <c r="E38" s="14" t="s">
        <v>605</v>
      </c>
      <c r="F38" t="s">
        <v>233</v>
      </c>
      <c r="G38" t="s">
        <v>61</v>
      </c>
      <c r="H38" t="s">
        <v>6</v>
      </c>
      <c r="I38" s="4" t="s">
        <v>234</v>
      </c>
    </row>
    <row r="39" spans="1:16">
      <c r="A39" t="s">
        <v>107</v>
      </c>
      <c r="B39">
        <v>1992</v>
      </c>
      <c r="C39" s="3">
        <v>25998</v>
      </c>
      <c r="D39" t="s">
        <v>14</v>
      </c>
      <c r="E39" t="s">
        <v>108</v>
      </c>
      <c r="F39" t="s">
        <v>109</v>
      </c>
      <c r="G39" t="s">
        <v>61</v>
      </c>
      <c r="H39" t="s">
        <v>6</v>
      </c>
      <c r="I39" s="4" t="s">
        <v>110</v>
      </c>
    </row>
    <row r="40" spans="1:16">
      <c r="A40" t="s">
        <v>15</v>
      </c>
      <c r="B40">
        <v>1993</v>
      </c>
      <c r="C40" s="3">
        <v>33546</v>
      </c>
      <c r="D40" t="s">
        <v>14</v>
      </c>
      <c r="E40" t="s">
        <v>108</v>
      </c>
      <c r="F40" t="s">
        <v>115</v>
      </c>
      <c r="G40" t="s">
        <v>61</v>
      </c>
      <c r="H40" t="s">
        <v>6</v>
      </c>
      <c r="I40" s="4" t="s">
        <v>116</v>
      </c>
    </row>
    <row r="41" spans="1:16">
      <c r="A41" t="s">
        <v>125</v>
      </c>
      <c r="B41">
        <v>1995</v>
      </c>
      <c r="C41" s="3">
        <v>5391</v>
      </c>
      <c r="D41" t="s">
        <v>14</v>
      </c>
      <c r="E41" t="s">
        <v>108</v>
      </c>
      <c r="F41" t="s">
        <v>126</v>
      </c>
      <c r="G41" t="s">
        <v>61</v>
      </c>
      <c r="H41" t="s">
        <v>6</v>
      </c>
      <c r="I41" s="4" t="s">
        <v>127</v>
      </c>
    </row>
    <row r="42" spans="1:16">
      <c r="A42" t="s">
        <v>135</v>
      </c>
      <c r="B42">
        <v>1999</v>
      </c>
      <c r="C42" s="3">
        <v>397</v>
      </c>
      <c r="D42" t="s">
        <v>14</v>
      </c>
      <c r="E42" t="s">
        <v>108</v>
      </c>
      <c r="F42" t="s">
        <v>136</v>
      </c>
      <c r="G42" t="s">
        <v>61</v>
      </c>
      <c r="H42" t="s">
        <v>6</v>
      </c>
      <c r="I42" s="4" t="s">
        <v>137</v>
      </c>
    </row>
    <row r="43" spans="1:16" ht="27.75">
      <c r="A43" t="s">
        <v>494</v>
      </c>
      <c r="B43">
        <v>2000</v>
      </c>
      <c r="C43" s="3">
        <v>1212</v>
      </c>
      <c r="D43" t="s">
        <v>21</v>
      </c>
      <c r="E43" s="14" t="s">
        <v>604</v>
      </c>
      <c r="F43" t="s">
        <v>136</v>
      </c>
      <c r="G43" t="s">
        <v>61</v>
      </c>
      <c r="H43" t="s">
        <v>6</v>
      </c>
      <c r="I43" s="4" t="s">
        <v>496</v>
      </c>
    </row>
    <row r="44" spans="1:16">
      <c r="A44" t="s">
        <v>52</v>
      </c>
      <c r="B44">
        <v>2004</v>
      </c>
      <c r="C44" s="3">
        <v>3745</v>
      </c>
      <c r="D44" t="s">
        <v>36</v>
      </c>
      <c r="E44" t="s">
        <v>108</v>
      </c>
      <c r="F44" t="s">
        <v>136</v>
      </c>
      <c r="G44" t="s">
        <v>61</v>
      </c>
      <c r="H44" t="s">
        <v>6</v>
      </c>
      <c r="I44" s="4" t="s">
        <v>598</v>
      </c>
    </row>
    <row r="45" spans="1:16">
      <c r="A45" t="s">
        <v>155</v>
      </c>
      <c r="B45">
        <v>2006</v>
      </c>
      <c r="C45" s="3">
        <v>771</v>
      </c>
      <c r="D45" t="s">
        <v>14</v>
      </c>
      <c r="E45" t="s">
        <v>108</v>
      </c>
      <c r="F45" t="s">
        <v>136</v>
      </c>
      <c r="G45" t="s">
        <v>61</v>
      </c>
      <c r="H45" t="s">
        <v>6</v>
      </c>
      <c r="I45" s="4" t="s">
        <v>156</v>
      </c>
    </row>
    <row r="46" spans="1:16">
      <c r="A46" t="s">
        <v>259</v>
      </c>
      <c r="B46">
        <v>2006</v>
      </c>
      <c r="C46" s="3">
        <v>1336</v>
      </c>
      <c r="D46" t="s">
        <v>24</v>
      </c>
      <c r="E46" t="s">
        <v>108</v>
      </c>
      <c r="F46" t="s">
        <v>260</v>
      </c>
      <c r="G46" t="s">
        <v>61</v>
      </c>
      <c r="H46" t="s">
        <v>6</v>
      </c>
      <c r="I46" s="4" t="s">
        <v>261</v>
      </c>
    </row>
    <row r="47" spans="1:16">
      <c r="A47" t="s">
        <v>33</v>
      </c>
      <c r="B47">
        <v>2015</v>
      </c>
      <c r="C47" s="3">
        <v>7423</v>
      </c>
      <c r="D47" t="s">
        <v>24</v>
      </c>
      <c r="E47" t="s">
        <v>108</v>
      </c>
      <c r="F47" t="s">
        <v>136</v>
      </c>
      <c r="G47" t="s">
        <v>61</v>
      </c>
      <c r="H47" t="s">
        <v>6</v>
      </c>
      <c r="I47" s="4" t="s">
        <v>267</v>
      </c>
    </row>
    <row r="49" spans="1:5">
      <c r="A49" t="s">
        <v>135</v>
      </c>
      <c r="C49" s="3">
        <v>1212</v>
      </c>
    </row>
    <row r="50" spans="1:5">
      <c r="A50" t="s">
        <v>494</v>
      </c>
      <c r="C50" s="3">
        <v>1212</v>
      </c>
    </row>
    <row r="51" spans="1:5">
      <c r="A51" t="s">
        <v>52</v>
      </c>
      <c r="C51" s="3">
        <v>3745</v>
      </c>
    </row>
    <row r="52" spans="1:5">
      <c r="A52" t="s">
        <v>607</v>
      </c>
      <c r="C52" s="3">
        <v>771</v>
      </c>
    </row>
    <row r="53" spans="1:5">
      <c r="A53" t="s">
        <v>367</v>
      </c>
      <c r="C53" s="3">
        <v>243</v>
      </c>
    </row>
    <row r="54" spans="1:5">
      <c r="A54" t="s">
        <v>262</v>
      </c>
      <c r="C54" s="3">
        <v>670</v>
      </c>
    </row>
    <row r="55" spans="1:5">
      <c r="A55" t="s">
        <v>608</v>
      </c>
      <c r="C55" s="3">
        <v>7423</v>
      </c>
    </row>
    <row r="56" spans="1:5">
      <c r="A56" t="s">
        <v>333</v>
      </c>
      <c r="C56" s="3">
        <v>1056</v>
      </c>
    </row>
    <row r="57" spans="1:5" s="5" customFormat="1">
      <c r="A57" s="5" t="s">
        <v>606</v>
      </c>
      <c r="C57" s="3">
        <v>1336</v>
      </c>
      <c r="E57" s="16" t="s">
        <v>717</v>
      </c>
    </row>
    <row r="58" spans="1:5" s="5" customFormat="1">
      <c r="A58" s="5" t="s">
        <v>15</v>
      </c>
      <c r="C58" s="3">
        <v>33546</v>
      </c>
      <c r="E58" s="5" t="s">
        <v>718</v>
      </c>
    </row>
    <row r="59" spans="1:5" s="5" customFormat="1">
      <c r="A59" s="5" t="s">
        <v>49</v>
      </c>
      <c r="C59" s="3">
        <v>5391</v>
      </c>
      <c r="E59" s="5" t="s">
        <v>719</v>
      </c>
    </row>
    <row r="60" spans="1:5" s="5" customFormat="1">
      <c r="C60" s="3">
        <f>SUM(C49:C59)</f>
        <v>56605</v>
      </c>
      <c r="D60" s="5" t="s">
        <v>712</v>
      </c>
    </row>
    <row r="62" spans="1:5">
      <c r="A62" t="s">
        <v>135</v>
      </c>
      <c r="C62" s="3">
        <v>1212</v>
      </c>
    </row>
    <row r="63" spans="1:5">
      <c r="A63" t="s">
        <v>494</v>
      </c>
      <c r="C63" s="3">
        <v>1212</v>
      </c>
    </row>
    <row r="64" spans="1:5">
      <c r="A64" t="s">
        <v>52</v>
      </c>
      <c r="C64" s="3">
        <v>3745</v>
      </c>
    </row>
    <row r="65" spans="1:9">
      <c r="A65" t="s">
        <v>607</v>
      </c>
      <c r="C65" s="3">
        <v>771</v>
      </c>
    </row>
    <row r="66" spans="1:9">
      <c r="A66" t="s">
        <v>367</v>
      </c>
      <c r="C66" s="3">
        <v>243</v>
      </c>
    </row>
    <row r="67" spans="1:9">
      <c r="A67" t="s">
        <v>262</v>
      </c>
      <c r="C67" s="3">
        <v>670</v>
      </c>
    </row>
    <row r="68" spans="1:9">
      <c r="A68" t="s">
        <v>608</v>
      </c>
      <c r="C68" s="3">
        <v>7423</v>
      </c>
    </row>
    <row r="69" spans="1:9">
      <c r="A69" t="s">
        <v>333</v>
      </c>
      <c r="C69" s="3">
        <v>1056</v>
      </c>
    </row>
    <row r="70" spans="1:9">
      <c r="C70" s="3">
        <f>SUM(C62:C69)</f>
        <v>16332</v>
      </c>
    </row>
    <row r="71" spans="1:9">
      <c r="C71" s="3"/>
    </row>
    <row r="72" spans="1:9">
      <c r="A72" t="s">
        <v>609</v>
      </c>
      <c r="C72" s="3"/>
    </row>
    <row r="73" spans="1:9">
      <c r="A73" t="s">
        <v>88</v>
      </c>
      <c r="B73">
        <v>1976</v>
      </c>
      <c r="C73" s="3">
        <v>986</v>
      </c>
      <c r="D73" t="s">
        <v>14</v>
      </c>
      <c r="E73" t="s">
        <v>89</v>
      </c>
      <c r="F73" t="s">
        <v>90</v>
      </c>
      <c r="G73" t="s">
        <v>61</v>
      </c>
      <c r="H73" t="s">
        <v>6</v>
      </c>
      <c r="I73" s="4" t="s">
        <v>91</v>
      </c>
    </row>
    <row r="74" spans="1:9">
      <c r="A74" t="s">
        <v>243</v>
      </c>
      <c r="B74">
        <v>1998</v>
      </c>
      <c r="C74" s="3">
        <v>796</v>
      </c>
      <c r="D74" t="s">
        <v>24</v>
      </c>
      <c r="E74" t="s">
        <v>244</v>
      </c>
      <c r="F74" t="s">
        <v>245</v>
      </c>
      <c r="G74" t="s">
        <v>61</v>
      </c>
      <c r="H74" t="s">
        <v>6</v>
      </c>
      <c r="I74" s="4" t="s">
        <v>246</v>
      </c>
    </row>
    <row r="75" spans="1:9">
      <c r="A75" t="s">
        <v>264</v>
      </c>
      <c r="B75">
        <v>2011</v>
      </c>
      <c r="C75" s="3">
        <v>107</v>
      </c>
      <c r="D75" t="s">
        <v>24</v>
      </c>
      <c r="E75" t="s">
        <v>265</v>
      </c>
      <c r="F75" t="s">
        <v>90</v>
      </c>
      <c r="G75" t="s">
        <v>123</v>
      </c>
      <c r="H75" t="s">
        <v>6</v>
      </c>
      <c r="I75" s="4" t="s">
        <v>266</v>
      </c>
    </row>
    <row r="76" spans="1:9">
      <c r="A76" t="s">
        <v>187</v>
      </c>
      <c r="B76">
        <v>2014</v>
      </c>
      <c r="C76" s="3">
        <v>518</v>
      </c>
      <c r="D76" t="s">
        <v>14</v>
      </c>
      <c r="E76" t="s">
        <v>188</v>
      </c>
      <c r="F76" t="s">
        <v>189</v>
      </c>
      <c r="G76" t="s">
        <v>61</v>
      </c>
      <c r="H76" t="s">
        <v>6</v>
      </c>
      <c r="I76" s="4" t="s">
        <v>190</v>
      </c>
    </row>
    <row r="77" spans="1:9">
      <c r="A77" t="s">
        <v>335</v>
      </c>
      <c r="B77">
        <v>2018</v>
      </c>
      <c r="C77" s="3">
        <v>85</v>
      </c>
      <c r="D77" t="s">
        <v>38</v>
      </c>
      <c r="E77" t="s">
        <v>336</v>
      </c>
      <c r="F77" t="s">
        <v>337</v>
      </c>
      <c r="G77" t="s">
        <v>61</v>
      </c>
      <c r="H77" t="s">
        <v>6</v>
      </c>
      <c r="I77" s="4" t="s">
        <v>338</v>
      </c>
    </row>
    <row r="78" spans="1:9">
      <c r="A78" t="s">
        <v>613</v>
      </c>
      <c r="B78">
        <v>2023</v>
      </c>
      <c r="C78" s="3">
        <v>3</v>
      </c>
      <c r="D78" t="s">
        <v>614</v>
      </c>
      <c r="E78" t="s">
        <v>615</v>
      </c>
      <c r="F78" t="s">
        <v>633</v>
      </c>
      <c r="G78" t="s">
        <v>61</v>
      </c>
      <c r="H78" t="s">
        <v>6</v>
      </c>
      <c r="I78" s="4" t="s">
        <v>616</v>
      </c>
    </row>
    <row r="79" spans="1:9">
      <c r="C79">
        <f>SUM(C73:C78)</f>
        <v>2495</v>
      </c>
    </row>
    <row r="81" spans="1:10">
      <c r="A81" t="s">
        <v>187</v>
      </c>
      <c r="C81" s="3">
        <v>518</v>
      </c>
    </row>
    <row r="82" spans="1:10">
      <c r="A82" t="s">
        <v>617</v>
      </c>
      <c r="C82" s="3">
        <v>107</v>
      </c>
    </row>
    <row r="83" spans="1:10">
      <c r="A83" t="s">
        <v>88</v>
      </c>
      <c r="C83" s="3">
        <v>986</v>
      </c>
    </row>
    <row r="84" spans="1:10">
      <c r="A84" t="s">
        <v>335</v>
      </c>
      <c r="C84" s="3">
        <v>85</v>
      </c>
      <c r="D84" t="s">
        <v>722</v>
      </c>
    </row>
    <row r="85" spans="1:10">
      <c r="A85" s="5" t="s">
        <v>618</v>
      </c>
      <c r="C85" s="3">
        <v>62</v>
      </c>
      <c r="D85" t="s">
        <v>723</v>
      </c>
    </row>
    <row r="86" spans="1:10">
      <c r="A86" t="s">
        <v>16</v>
      </c>
      <c r="C86" s="3">
        <v>31914</v>
      </c>
    </row>
    <row r="87" spans="1:10" s="5" customFormat="1">
      <c r="A87" s="17" t="s">
        <v>243</v>
      </c>
      <c r="C87" s="11">
        <v>796</v>
      </c>
      <c r="D87" s="5" t="s">
        <v>720</v>
      </c>
      <c r="E87" s="5" t="s">
        <v>712</v>
      </c>
    </row>
    <row r="88" spans="1:10" s="5" customFormat="1">
      <c r="A88" s="5" t="s">
        <v>187</v>
      </c>
      <c r="C88" s="11">
        <v>518</v>
      </c>
      <c r="D88" s="5" t="s">
        <v>721</v>
      </c>
      <c r="E88" s="5" t="s">
        <v>712</v>
      </c>
    </row>
    <row r="89" spans="1:10" s="5" customFormat="1">
      <c r="A89" s="5" t="s">
        <v>724</v>
      </c>
      <c r="C89" s="11">
        <v>3</v>
      </c>
      <c r="D89" s="5" t="s">
        <v>725</v>
      </c>
      <c r="E89" s="5" t="s">
        <v>713</v>
      </c>
    </row>
    <row r="90" spans="1:10">
      <c r="C90">
        <f>SUM(C81:C89)</f>
        <v>34989</v>
      </c>
    </row>
    <row r="92" spans="1:10">
      <c r="A92" s="5" t="s">
        <v>619</v>
      </c>
    </row>
    <row r="93" spans="1:10">
      <c r="A93" t="s">
        <v>157</v>
      </c>
      <c r="B93">
        <v>2007</v>
      </c>
      <c r="C93" s="3">
        <v>4663</v>
      </c>
      <c r="D93" t="s">
        <v>14</v>
      </c>
      <c r="E93" t="s">
        <v>158</v>
      </c>
      <c r="F93" t="s">
        <v>159</v>
      </c>
      <c r="G93" t="s">
        <v>123</v>
      </c>
      <c r="H93" t="s">
        <v>6</v>
      </c>
    </row>
    <row r="94" spans="1:10" ht="41.65">
      <c r="A94" t="s">
        <v>161</v>
      </c>
      <c r="B94">
        <v>2008</v>
      </c>
      <c r="C94" s="3">
        <v>2581</v>
      </c>
      <c r="D94" t="s">
        <v>14</v>
      </c>
      <c r="E94" t="s">
        <v>162</v>
      </c>
      <c r="F94" s="14" t="s">
        <v>715</v>
      </c>
      <c r="G94" t="s">
        <v>123</v>
      </c>
      <c r="H94" t="s">
        <v>6</v>
      </c>
    </row>
    <row r="95" spans="1:10" s="5" customFormat="1" ht="41.65">
      <c r="A95" s="5" t="s">
        <v>620</v>
      </c>
      <c r="B95" s="5">
        <v>2009</v>
      </c>
      <c r="C95" s="11">
        <v>1127</v>
      </c>
      <c r="D95" s="5" t="s">
        <v>621</v>
      </c>
      <c r="E95" s="5" t="s">
        <v>622</v>
      </c>
      <c r="F95" s="15" t="s">
        <v>714</v>
      </c>
      <c r="G95" s="5" t="s">
        <v>123</v>
      </c>
      <c r="H95" s="5" t="s">
        <v>6</v>
      </c>
      <c r="J95" s="5" t="s">
        <v>726</v>
      </c>
    </row>
    <row r="96" spans="1:10">
      <c r="A96" t="s">
        <v>317</v>
      </c>
      <c r="B96">
        <v>2011</v>
      </c>
      <c r="C96" s="3">
        <v>292</v>
      </c>
      <c r="D96" t="s">
        <v>38</v>
      </c>
      <c r="E96" t="s">
        <v>318</v>
      </c>
      <c r="F96" t="s">
        <v>319</v>
      </c>
      <c r="G96" t="s">
        <v>123</v>
      </c>
      <c r="H96" t="s">
        <v>6</v>
      </c>
    </row>
    <row r="97" spans="1:10" ht="41.65">
      <c r="A97" t="s">
        <v>610</v>
      </c>
      <c r="B97">
        <v>2013</v>
      </c>
      <c r="C97" s="3">
        <v>769</v>
      </c>
      <c r="D97" t="s">
        <v>611</v>
      </c>
      <c r="E97" t="s">
        <v>612</v>
      </c>
      <c r="F97" s="14" t="s">
        <v>716</v>
      </c>
      <c r="G97" t="s">
        <v>123</v>
      </c>
      <c r="H97" t="s">
        <v>6</v>
      </c>
    </row>
    <row r="98" spans="1:10" s="5" customFormat="1">
      <c r="A98" s="5" t="s">
        <v>624</v>
      </c>
      <c r="B98" s="5">
        <v>2015</v>
      </c>
      <c r="C98" s="11">
        <v>2</v>
      </c>
      <c r="D98" s="5" t="s">
        <v>625</v>
      </c>
      <c r="E98" s="5" t="s">
        <v>626</v>
      </c>
      <c r="F98" s="5" t="s">
        <v>627</v>
      </c>
      <c r="G98" s="5" t="s">
        <v>123</v>
      </c>
      <c r="H98" s="5" t="s">
        <v>6</v>
      </c>
      <c r="J98" s="5" t="s">
        <v>727</v>
      </c>
    </row>
    <row r="99" spans="1:10">
      <c r="A99" t="s">
        <v>589</v>
      </c>
      <c r="B99">
        <v>2016</v>
      </c>
      <c r="C99" s="3">
        <v>39</v>
      </c>
      <c r="D99" t="s">
        <v>599</v>
      </c>
      <c r="E99" t="s">
        <v>600</v>
      </c>
      <c r="F99" t="s">
        <v>601</v>
      </c>
      <c r="G99" t="s">
        <v>123</v>
      </c>
      <c r="H99" t="s">
        <v>6</v>
      </c>
    </row>
    <row r="100" spans="1:10">
      <c r="A100" t="s">
        <v>335</v>
      </c>
      <c r="B100">
        <v>2018</v>
      </c>
      <c r="C100" s="3">
        <v>85</v>
      </c>
      <c r="D100" t="s">
        <v>38</v>
      </c>
      <c r="E100" t="s">
        <v>336</v>
      </c>
      <c r="F100" t="s">
        <v>337</v>
      </c>
      <c r="G100" t="s">
        <v>61</v>
      </c>
      <c r="H100" t="s">
        <v>6</v>
      </c>
    </row>
    <row r="101" spans="1:10" s="5" customFormat="1">
      <c r="A101" s="5" t="s">
        <v>628</v>
      </c>
      <c r="B101" s="5">
        <v>2021</v>
      </c>
      <c r="C101" s="11">
        <v>19</v>
      </c>
      <c r="D101" s="5" t="s">
        <v>583</v>
      </c>
      <c r="E101" s="5" t="s">
        <v>629</v>
      </c>
      <c r="F101" s="5" t="s">
        <v>632</v>
      </c>
      <c r="G101" s="5" t="s">
        <v>61</v>
      </c>
      <c r="H101" s="5" t="s">
        <v>6</v>
      </c>
      <c r="J101" s="5" t="s">
        <v>728</v>
      </c>
    </row>
    <row r="102" spans="1:10">
      <c r="C102">
        <f>SUM(C93:C101)</f>
        <v>9577</v>
      </c>
    </row>
    <row r="103" spans="1:10">
      <c r="A103" t="s">
        <v>589</v>
      </c>
      <c r="C103" s="3">
        <v>39</v>
      </c>
    </row>
    <row r="104" spans="1:10">
      <c r="A104" t="s">
        <v>630</v>
      </c>
      <c r="C104" s="3">
        <v>292</v>
      </c>
    </row>
    <row r="105" spans="1:10">
      <c r="A105" t="s">
        <v>610</v>
      </c>
      <c r="C105" s="3">
        <v>769</v>
      </c>
    </row>
    <row r="106" spans="1:10">
      <c r="A106" t="s">
        <v>50</v>
      </c>
      <c r="C106" s="3">
        <v>4663</v>
      </c>
    </row>
    <row r="107" spans="1:10">
      <c r="A107" t="s">
        <v>631</v>
      </c>
      <c r="C107" s="3">
        <v>2581</v>
      </c>
    </row>
    <row r="109" spans="1:10">
      <c r="A109" t="s">
        <v>634</v>
      </c>
    </row>
    <row r="110" spans="1:10">
      <c r="A110" t="s">
        <v>635</v>
      </c>
    </row>
    <row r="111" spans="1:10">
      <c r="A111" t="s">
        <v>636</v>
      </c>
    </row>
    <row r="112" spans="1:10">
      <c r="A112" t="s">
        <v>382</v>
      </c>
      <c r="C112" s="3">
        <v>710</v>
      </c>
    </row>
    <row r="113" spans="1:8">
      <c r="A113" t="s">
        <v>637</v>
      </c>
    </row>
    <row r="114" spans="1:8">
      <c r="A114" t="s">
        <v>638</v>
      </c>
      <c r="C114" s="3">
        <v>688</v>
      </c>
    </row>
    <row r="116" spans="1:8">
      <c r="A116" t="s">
        <v>638</v>
      </c>
      <c r="B116">
        <v>1990</v>
      </c>
      <c r="C116" s="3">
        <v>688</v>
      </c>
      <c r="D116" t="s">
        <v>639</v>
      </c>
      <c r="E116" t="s">
        <v>640</v>
      </c>
      <c r="F116" t="s">
        <v>641</v>
      </c>
      <c r="G116" t="s">
        <v>61</v>
      </c>
      <c r="H116" t="s">
        <v>6</v>
      </c>
    </row>
    <row r="117" spans="1:8">
      <c r="A117" t="s">
        <v>382</v>
      </c>
      <c r="B117">
        <v>1997</v>
      </c>
      <c r="C117" s="3">
        <v>710</v>
      </c>
      <c r="D117" t="s">
        <v>383</v>
      </c>
      <c r="E117" t="s">
        <v>384</v>
      </c>
      <c r="F117" t="s">
        <v>365</v>
      </c>
      <c r="G117" t="s">
        <v>69</v>
      </c>
      <c r="H117" t="s">
        <v>6</v>
      </c>
    </row>
    <row r="118" spans="1:8">
      <c r="A118" t="s">
        <v>363</v>
      </c>
      <c r="B118">
        <v>2001</v>
      </c>
      <c r="C118" s="3">
        <v>564</v>
      </c>
      <c r="D118" t="s">
        <v>354</v>
      </c>
      <c r="E118" t="s">
        <v>364</v>
      </c>
      <c r="F118" t="s">
        <v>365</v>
      </c>
      <c r="G118" t="s">
        <v>123</v>
      </c>
      <c r="H118" t="s">
        <v>6</v>
      </c>
    </row>
    <row r="119" spans="1:8">
      <c r="A119" t="s">
        <v>35</v>
      </c>
      <c r="B119">
        <v>2007</v>
      </c>
      <c r="C119" s="3">
        <v>4284</v>
      </c>
      <c r="D119" t="s">
        <v>36</v>
      </c>
      <c r="E119" t="s">
        <v>152</v>
      </c>
      <c r="F119" t="s">
        <v>642</v>
      </c>
      <c r="G119" t="s">
        <v>123</v>
      </c>
      <c r="H119" t="s">
        <v>6</v>
      </c>
    </row>
    <row r="120" spans="1:8">
      <c r="A120" t="s">
        <v>369</v>
      </c>
      <c r="B120">
        <v>2011</v>
      </c>
      <c r="C120" s="3">
        <v>999</v>
      </c>
      <c r="D120" t="s">
        <v>354</v>
      </c>
      <c r="E120" t="s">
        <v>370</v>
      </c>
      <c r="F120" t="s">
        <v>371</v>
      </c>
      <c r="G120" t="s">
        <v>69</v>
      </c>
      <c r="H120" t="s">
        <v>6</v>
      </c>
    </row>
    <row r="121" spans="1:8">
      <c r="C121">
        <f>SUM(C116:C120)</f>
        <v>7245</v>
      </c>
    </row>
    <row r="122" spans="1:8">
      <c r="A122" t="s">
        <v>643</v>
      </c>
    </row>
    <row r="123" spans="1:8">
      <c r="A123" t="s">
        <v>644</v>
      </c>
    </row>
    <row r="124" spans="1:8">
      <c r="A124" t="s">
        <v>645</v>
      </c>
    </row>
    <row r="125" spans="1:8">
      <c r="A125" t="s">
        <v>646</v>
      </c>
    </row>
    <row r="126" spans="1:8">
      <c r="A126" t="s">
        <v>138</v>
      </c>
    </row>
    <row r="127" spans="1:8">
      <c r="A127" t="s">
        <v>647</v>
      </c>
    </row>
    <row r="129" spans="1:10">
      <c r="A129" t="s">
        <v>84</v>
      </c>
      <c r="B129">
        <v>1976</v>
      </c>
      <c r="C129" s="3">
        <v>1210</v>
      </c>
      <c r="D129" t="s">
        <v>14</v>
      </c>
      <c r="E129" t="s">
        <v>85</v>
      </c>
      <c r="F129" t="s">
        <v>86</v>
      </c>
      <c r="G129" t="s">
        <v>61</v>
      </c>
      <c r="H129" t="s">
        <v>6</v>
      </c>
    </row>
    <row r="130" spans="1:10">
      <c r="A130" t="s">
        <v>138</v>
      </c>
      <c r="B130">
        <v>2000</v>
      </c>
      <c r="C130" s="3">
        <v>1551</v>
      </c>
      <c r="D130" t="s">
        <v>14</v>
      </c>
      <c r="E130" t="s">
        <v>139</v>
      </c>
      <c r="F130" t="s">
        <v>140</v>
      </c>
      <c r="G130" t="s">
        <v>61</v>
      </c>
      <c r="H130" t="s">
        <v>6</v>
      </c>
    </row>
    <row r="131" spans="1:10">
      <c r="A131" t="s">
        <v>648</v>
      </c>
      <c r="B131">
        <v>2000</v>
      </c>
      <c r="C131" s="3">
        <v>130</v>
      </c>
      <c r="D131" t="s">
        <v>649</v>
      </c>
      <c r="E131" t="s">
        <v>650</v>
      </c>
      <c r="F131" t="s">
        <v>651</v>
      </c>
      <c r="G131" t="s">
        <v>61</v>
      </c>
      <c r="H131" t="s">
        <v>6</v>
      </c>
    </row>
    <row r="132" spans="1:10">
      <c r="A132" t="s">
        <v>620</v>
      </c>
      <c r="B132">
        <v>2009</v>
      </c>
      <c r="C132" s="3">
        <v>1127</v>
      </c>
      <c r="D132" t="s">
        <v>621</v>
      </c>
      <c r="E132" t="s">
        <v>622</v>
      </c>
      <c r="F132" t="s">
        <v>623</v>
      </c>
      <c r="G132" t="s">
        <v>123</v>
      </c>
      <c r="H132" t="s">
        <v>6</v>
      </c>
    </row>
    <row r="133" spans="1:10" s="5" customFormat="1" ht="41.65">
      <c r="A133" s="5" t="s">
        <v>652</v>
      </c>
      <c r="B133" s="5">
        <v>2011</v>
      </c>
      <c r="C133" s="11">
        <v>848</v>
      </c>
      <c r="D133" s="5" t="s">
        <v>653</v>
      </c>
      <c r="E133" s="5" t="s">
        <v>654</v>
      </c>
      <c r="F133" s="15" t="s">
        <v>659</v>
      </c>
      <c r="G133" s="5" t="s">
        <v>123</v>
      </c>
      <c r="H133" s="5" t="s">
        <v>6</v>
      </c>
      <c r="J133" s="5" t="s">
        <v>729</v>
      </c>
    </row>
    <row r="134" spans="1:10">
      <c r="A134" t="s">
        <v>655</v>
      </c>
      <c r="B134">
        <v>2016</v>
      </c>
      <c r="C134" s="3">
        <v>155</v>
      </c>
      <c r="D134" t="s">
        <v>656</v>
      </c>
      <c r="E134" t="s">
        <v>657</v>
      </c>
      <c r="F134" t="s">
        <v>658</v>
      </c>
      <c r="G134" t="s">
        <v>123</v>
      </c>
      <c r="H134" t="s">
        <v>6</v>
      </c>
    </row>
    <row r="135" spans="1:10">
      <c r="A135" t="s">
        <v>688</v>
      </c>
      <c r="B135">
        <v>1988</v>
      </c>
      <c r="C135" s="3">
        <v>1964</v>
      </c>
      <c r="D135" t="s">
        <v>685</v>
      </c>
      <c r="E135" t="s">
        <v>686</v>
      </c>
      <c r="F135" t="s">
        <v>687</v>
      </c>
      <c r="G135" t="s">
        <v>61</v>
      </c>
      <c r="H135" t="s">
        <v>6</v>
      </c>
    </row>
    <row r="136" spans="1:10">
      <c r="C136">
        <f>SUM(C129:C135)</f>
        <v>6985</v>
      </c>
    </row>
    <row r="137" spans="1:10">
      <c r="A137" t="s">
        <v>660</v>
      </c>
    </row>
    <row r="138" spans="1:10">
      <c r="A138" t="s">
        <v>661</v>
      </c>
    </row>
    <row r="139" spans="1:10">
      <c r="A139" t="s">
        <v>44</v>
      </c>
    </row>
    <row r="140" spans="1:10">
      <c r="A140" t="s">
        <v>247</v>
      </c>
    </row>
    <row r="141" spans="1:10">
      <c r="A141" t="s">
        <v>662</v>
      </c>
    </row>
    <row r="143" spans="1:10">
      <c r="A143" t="s">
        <v>92</v>
      </c>
      <c r="B143">
        <v>1976</v>
      </c>
      <c r="C143" s="3">
        <v>710</v>
      </c>
      <c r="D143" t="s">
        <v>14</v>
      </c>
      <c r="E143" t="s">
        <v>93</v>
      </c>
      <c r="F143" t="s">
        <v>94</v>
      </c>
      <c r="G143" t="s">
        <v>61</v>
      </c>
      <c r="H143" t="s">
        <v>6</v>
      </c>
    </row>
    <row r="144" spans="1:10">
      <c r="A144" t="s">
        <v>44</v>
      </c>
      <c r="B144">
        <v>1986</v>
      </c>
      <c r="C144" s="3">
        <v>2403</v>
      </c>
      <c r="D144" t="s">
        <v>24</v>
      </c>
      <c r="E144" t="s">
        <v>221</v>
      </c>
      <c r="F144" t="s">
        <v>222</v>
      </c>
      <c r="G144" t="s">
        <v>61</v>
      </c>
      <c r="H144" t="s">
        <v>6</v>
      </c>
    </row>
    <row r="145" spans="1:10">
      <c r="A145" t="s">
        <v>247</v>
      </c>
      <c r="B145">
        <v>1999</v>
      </c>
      <c r="C145" s="3">
        <v>2057</v>
      </c>
      <c r="D145" t="s">
        <v>24</v>
      </c>
      <c r="E145" t="s">
        <v>248</v>
      </c>
      <c r="F145" t="s">
        <v>667</v>
      </c>
      <c r="G145" t="s">
        <v>61</v>
      </c>
      <c r="H145" t="s">
        <v>6</v>
      </c>
    </row>
    <row r="146" spans="1:10">
      <c r="A146" t="s">
        <v>663</v>
      </c>
      <c r="B146">
        <v>2016</v>
      </c>
      <c r="C146" s="3">
        <v>210</v>
      </c>
      <c r="D146" t="s">
        <v>664</v>
      </c>
      <c r="E146" t="s">
        <v>665</v>
      </c>
      <c r="F146" t="s">
        <v>666</v>
      </c>
      <c r="G146" t="s">
        <v>123</v>
      </c>
      <c r="H146" t="s">
        <v>6</v>
      </c>
    </row>
    <row r="147" spans="1:10">
      <c r="C147">
        <f>SUM(C143:C146)</f>
        <v>5380</v>
      </c>
    </row>
    <row r="149" spans="1:10">
      <c r="A149" t="s">
        <v>668</v>
      </c>
    </row>
    <row r="150" spans="1:10">
      <c r="A150" t="s">
        <v>23</v>
      </c>
      <c r="B150">
        <v>1981</v>
      </c>
      <c r="C150" s="3">
        <v>10198</v>
      </c>
      <c r="D150" t="s">
        <v>24</v>
      </c>
      <c r="E150" t="s">
        <v>218</v>
      </c>
      <c r="F150" t="s">
        <v>219</v>
      </c>
      <c r="G150" t="s">
        <v>61</v>
      </c>
      <c r="H150" t="s">
        <v>6</v>
      </c>
    </row>
    <row r="151" spans="1:10">
      <c r="A151" t="s">
        <v>103</v>
      </c>
      <c r="B151">
        <v>1989</v>
      </c>
      <c r="C151" s="3">
        <v>883</v>
      </c>
      <c r="D151" t="s">
        <v>14</v>
      </c>
      <c r="E151" t="s">
        <v>104</v>
      </c>
      <c r="F151" t="s">
        <v>105</v>
      </c>
      <c r="G151" t="s">
        <v>61</v>
      </c>
      <c r="H151" t="s">
        <v>6</v>
      </c>
    </row>
    <row r="152" spans="1:10">
      <c r="A152" t="s">
        <v>301</v>
      </c>
      <c r="B152">
        <v>1992</v>
      </c>
      <c r="C152" s="3">
        <v>1725</v>
      </c>
      <c r="D152" t="s">
        <v>38</v>
      </c>
      <c r="E152" t="s">
        <v>302</v>
      </c>
      <c r="F152" t="s">
        <v>219</v>
      </c>
      <c r="G152" t="s">
        <v>61</v>
      </c>
      <c r="H152" t="s">
        <v>6</v>
      </c>
    </row>
    <row r="153" spans="1:10">
      <c r="A153" t="s">
        <v>669</v>
      </c>
      <c r="B153">
        <v>1998</v>
      </c>
      <c r="C153" s="3">
        <v>7564</v>
      </c>
      <c r="D153" t="s">
        <v>670</v>
      </c>
      <c r="E153" t="s">
        <v>671</v>
      </c>
      <c r="F153" t="s">
        <v>672</v>
      </c>
      <c r="G153" t="s">
        <v>123</v>
      </c>
      <c r="H153" t="s">
        <v>6</v>
      </c>
    </row>
    <row r="154" spans="1:10">
      <c r="C154">
        <f>SUM(C150:C153)</f>
        <v>20370</v>
      </c>
    </row>
    <row r="156" spans="1:10">
      <c r="A156" t="s">
        <v>673</v>
      </c>
    </row>
    <row r="157" spans="1:10">
      <c r="A157" t="s">
        <v>17</v>
      </c>
      <c r="B157">
        <v>1997</v>
      </c>
      <c r="C157" s="3">
        <v>21537</v>
      </c>
      <c r="D157" t="s">
        <v>14</v>
      </c>
      <c r="E157" t="s">
        <v>128</v>
      </c>
      <c r="F157" t="s">
        <v>129</v>
      </c>
      <c r="G157" t="s">
        <v>61</v>
      </c>
      <c r="H157" t="s">
        <v>6</v>
      </c>
    </row>
    <row r="158" spans="1:10">
      <c r="A158" t="s">
        <v>180</v>
      </c>
      <c r="B158">
        <v>2012</v>
      </c>
      <c r="C158" s="3">
        <v>356</v>
      </c>
      <c r="D158" t="s">
        <v>14</v>
      </c>
      <c r="E158" t="s">
        <v>181</v>
      </c>
      <c r="F158" t="s">
        <v>129</v>
      </c>
      <c r="G158" t="s">
        <v>123</v>
      </c>
      <c r="H158" t="s">
        <v>6</v>
      </c>
    </row>
    <row r="159" spans="1:10" s="5" customFormat="1">
      <c r="A159" s="5" t="s">
        <v>187</v>
      </c>
      <c r="B159" s="5">
        <v>2014</v>
      </c>
      <c r="C159" s="11">
        <v>518</v>
      </c>
      <c r="D159" s="5" t="s">
        <v>14</v>
      </c>
      <c r="E159" s="5" t="s">
        <v>188</v>
      </c>
      <c r="F159" s="5" t="s">
        <v>189</v>
      </c>
      <c r="G159" s="5" t="s">
        <v>61</v>
      </c>
      <c r="H159" s="5" t="s">
        <v>6</v>
      </c>
      <c r="J159" s="5" t="s">
        <v>721</v>
      </c>
    </row>
    <row r="160" spans="1:10">
      <c r="A160" t="s">
        <v>329</v>
      </c>
      <c r="B160">
        <v>2015</v>
      </c>
      <c r="C160" s="3">
        <v>228</v>
      </c>
      <c r="D160" t="s">
        <v>38</v>
      </c>
      <c r="E160" t="s">
        <v>330</v>
      </c>
      <c r="F160" t="s">
        <v>331</v>
      </c>
      <c r="G160" t="s">
        <v>123</v>
      </c>
      <c r="H160" t="s">
        <v>6</v>
      </c>
    </row>
    <row r="161" spans="1:8">
      <c r="C161">
        <f>SUM(C157:C160)</f>
        <v>22639</v>
      </c>
    </row>
    <row r="163" spans="1:8">
      <c r="A163" t="s">
        <v>675</v>
      </c>
    </row>
    <row r="164" spans="1:8">
      <c r="A164" t="s">
        <v>227</v>
      </c>
      <c r="B164">
        <v>1987</v>
      </c>
      <c r="C164" s="3">
        <v>759</v>
      </c>
      <c r="D164" t="s">
        <v>24</v>
      </c>
      <c r="E164" t="s">
        <v>228</v>
      </c>
      <c r="F164" t="s">
        <v>229</v>
      </c>
      <c r="G164" t="s">
        <v>61</v>
      </c>
      <c r="H164" t="s">
        <v>6</v>
      </c>
    </row>
    <row r="165" spans="1:8">
      <c r="A165" t="s">
        <v>669</v>
      </c>
      <c r="B165">
        <v>1998</v>
      </c>
      <c r="C165" s="3">
        <v>7564</v>
      </c>
      <c r="D165" t="s">
        <v>670</v>
      </c>
      <c r="E165" t="s">
        <v>671</v>
      </c>
      <c r="F165" t="s">
        <v>672</v>
      </c>
      <c r="G165" t="s">
        <v>123</v>
      </c>
      <c r="H165" t="s">
        <v>6</v>
      </c>
    </row>
    <row r="166" spans="1:8">
      <c r="A166" t="s">
        <v>329</v>
      </c>
      <c r="B166">
        <v>2015</v>
      </c>
      <c r="C166" s="3">
        <v>228</v>
      </c>
      <c r="D166" t="s">
        <v>38</v>
      </c>
      <c r="E166" t="s">
        <v>330</v>
      </c>
      <c r="F166" t="s">
        <v>331</v>
      </c>
      <c r="G166" t="s">
        <v>123</v>
      </c>
      <c r="H166" t="s">
        <v>6</v>
      </c>
    </row>
    <row r="167" spans="1:8">
      <c r="C167">
        <f>SUM(C164:C166)</f>
        <v>8551</v>
      </c>
    </row>
    <row r="173" spans="1:8">
      <c r="A173" t="s">
        <v>674</v>
      </c>
    </row>
    <row r="174" spans="1:8">
      <c r="A174" t="s">
        <v>54</v>
      </c>
      <c r="B174">
        <v>1987</v>
      </c>
      <c r="C174" s="3">
        <v>3083</v>
      </c>
      <c r="D174" t="s">
        <v>24</v>
      </c>
      <c r="E174" t="s">
        <v>224</v>
      </c>
      <c r="F174" t="s">
        <v>225</v>
      </c>
      <c r="G174" t="s">
        <v>61</v>
      </c>
    </row>
    <row r="175" spans="1:8">
      <c r="A175" t="s">
        <v>39</v>
      </c>
      <c r="B175">
        <v>1988</v>
      </c>
      <c r="C175" s="3">
        <v>3649</v>
      </c>
      <c r="D175" t="s">
        <v>14</v>
      </c>
      <c r="E175" t="s">
        <v>100</v>
      </c>
      <c r="F175" t="s">
        <v>101</v>
      </c>
      <c r="G175" t="s">
        <v>61</v>
      </c>
    </row>
    <row r="176" spans="1:8">
      <c r="A176" t="s">
        <v>542</v>
      </c>
      <c r="B176">
        <v>2015</v>
      </c>
      <c r="C176" s="3">
        <v>178</v>
      </c>
      <c r="D176" t="s">
        <v>538</v>
      </c>
      <c r="E176" t="s">
        <v>543</v>
      </c>
      <c r="F176" t="s">
        <v>544</v>
      </c>
      <c r="G176" t="s">
        <v>123</v>
      </c>
    </row>
    <row r="177" spans="1:8">
      <c r="C177">
        <f>SUM(C174:C176)</f>
        <v>6910</v>
      </c>
    </row>
    <row r="179" spans="1:8">
      <c r="A179" t="s">
        <v>676</v>
      </c>
    </row>
    <row r="180" spans="1:8">
      <c r="A180" t="s">
        <v>176</v>
      </c>
      <c r="B180">
        <v>2011</v>
      </c>
      <c r="C180" s="3">
        <v>1179</v>
      </c>
      <c r="D180" t="s">
        <v>14</v>
      </c>
      <c r="E180" t="s">
        <v>177</v>
      </c>
      <c r="F180" t="s">
        <v>178</v>
      </c>
      <c r="G180" t="s">
        <v>123</v>
      </c>
      <c r="H180" t="s">
        <v>6</v>
      </c>
    </row>
    <row r="181" spans="1:8">
      <c r="A181" t="s">
        <v>321</v>
      </c>
      <c r="B181">
        <v>2012</v>
      </c>
      <c r="C181" s="3">
        <v>546</v>
      </c>
      <c r="D181" t="s">
        <v>38</v>
      </c>
      <c r="E181" t="s">
        <v>322</v>
      </c>
      <c r="F181" t="s">
        <v>323</v>
      </c>
      <c r="G181" t="s">
        <v>123</v>
      </c>
      <c r="H181" t="s">
        <v>6</v>
      </c>
    </row>
    <row r="182" spans="1:8">
      <c r="A182" t="s">
        <v>183</v>
      </c>
      <c r="B182">
        <v>2013</v>
      </c>
      <c r="C182" s="3">
        <v>1063</v>
      </c>
      <c r="D182" t="s">
        <v>14</v>
      </c>
      <c r="E182" t="s">
        <v>184</v>
      </c>
      <c r="F182" t="s">
        <v>185</v>
      </c>
      <c r="G182" t="s">
        <v>123</v>
      </c>
      <c r="H182" t="s">
        <v>6</v>
      </c>
    </row>
    <row r="185" spans="1:8">
      <c r="A185" t="s">
        <v>677</v>
      </c>
      <c r="C185" s="3">
        <v>1879</v>
      </c>
    </row>
    <row r="186" spans="1:8">
      <c r="A186" t="s">
        <v>678</v>
      </c>
      <c r="C186" s="3">
        <v>546</v>
      </c>
    </row>
    <row r="187" spans="1:8">
      <c r="A187" t="s">
        <v>679</v>
      </c>
      <c r="C187" s="3">
        <v>1063</v>
      </c>
    </row>
    <row r="188" spans="1:8">
      <c r="A188" t="s">
        <v>176</v>
      </c>
      <c r="C188" s="3">
        <v>1179</v>
      </c>
    </row>
    <row r="189" spans="1:8">
      <c r="C189" s="3">
        <f>SUM(C185:C188)</f>
        <v>4667</v>
      </c>
    </row>
    <row r="190" spans="1:8">
      <c r="C190" s="3"/>
    </row>
    <row r="191" spans="1:8">
      <c r="A191" t="s">
        <v>680</v>
      </c>
      <c r="C191" s="3"/>
    </row>
    <row r="192" spans="1:8">
      <c r="A192" t="s">
        <v>682</v>
      </c>
      <c r="C192" s="3"/>
    </row>
    <row r="193" spans="1:8">
      <c r="A193" t="s">
        <v>681</v>
      </c>
    </row>
    <row r="195" spans="1:8">
      <c r="A195" t="s">
        <v>191</v>
      </c>
      <c r="B195">
        <v>2014</v>
      </c>
      <c r="C195" s="3">
        <v>434</v>
      </c>
      <c r="D195" t="s">
        <v>14</v>
      </c>
      <c r="E195" t="s">
        <v>192</v>
      </c>
      <c r="F195" t="s">
        <v>193</v>
      </c>
      <c r="G195" t="s">
        <v>194</v>
      </c>
      <c r="H195" t="s">
        <v>6</v>
      </c>
    </row>
    <row r="196" spans="1:8">
      <c r="A196" t="s">
        <v>200</v>
      </c>
      <c r="B196">
        <v>2019</v>
      </c>
      <c r="C196" s="3">
        <v>149</v>
      </c>
      <c r="D196" t="s">
        <v>14</v>
      </c>
      <c r="E196" t="s">
        <v>201</v>
      </c>
      <c r="F196" t="s">
        <v>202</v>
      </c>
      <c r="G196" t="s">
        <v>61</v>
      </c>
      <c r="H196" t="s">
        <v>6</v>
      </c>
    </row>
    <row r="197" spans="1:8">
      <c r="A197" t="s">
        <v>681</v>
      </c>
      <c r="C197">
        <f>SUM(C195:C196)</f>
        <v>583</v>
      </c>
      <c r="D197" t="s">
        <v>730</v>
      </c>
    </row>
    <row r="199" spans="1:8">
      <c r="A199" t="s">
        <v>683</v>
      </c>
    </row>
    <row r="200" spans="1:8">
      <c r="A200" t="s">
        <v>66</v>
      </c>
      <c r="B200">
        <v>1965</v>
      </c>
      <c r="C200" s="3">
        <v>4380</v>
      </c>
      <c r="D200" t="s">
        <v>14</v>
      </c>
      <c r="E200" t="s">
        <v>67</v>
      </c>
      <c r="F200" t="s">
        <v>68</v>
      </c>
      <c r="G200" t="s">
        <v>69</v>
      </c>
      <c r="H200" t="s">
        <v>6</v>
      </c>
    </row>
    <row r="201" spans="1:8">
      <c r="A201" t="s">
        <v>684</v>
      </c>
      <c r="B201">
        <v>1988</v>
      </c>
      <c r="C201" s="3">
        <v>1964</v>
      </c>
      <c r="D201" t="s">
        <v>685</v>
      </c>
      <c r="E201" t="s">
        <v>686</v>
      </c>
      <c r="F201" t="s">
        <v>687</v>
      </c>
      <c r="G201" t="s">
        <v>61</v>
      </c>
      <c r="H201" t="s">
        <v>6</v>
      </c>
    </row>
    <row r="202" spans="1:8">
      <c r="A202" t="s">
        <v>27</v>
      </c>
      <c r="B202">
        <v>1990</v>
      </c>
      <c r="C202" s="3">
        <v>8468</v>
      </c>
      <c r="D202" t="s">
        <v>19</v>
      </c>
      <c r="E202" t="s">
        <v>432</v>
      </c>
      <c r="F202" t="s">
        <v>433</v>
      </c>
      <c r="G202" t="s">
        <v>123</v>
      </c>
      <c r="H202" t="s">
        <v>6</v>
      </c>
    </row>
    <row r="203" spans="1:8">
      <c r="A203" t="s">
        <v>251</v>
      </c>
      <c r="B203">
        <v>2003</v>
      </c>
      <c r="C203" s="3">
        <v>1721</v>
      </c>
      <c r="D203" t="s">
        <v>24</v>
      </c>
      <c r="E203" t="s">
        <v>252</v>
      </c>
      <c r="F203" t="s">
        <v>253</v>
      </c>
      <c r="G203" t="s">
        <v>61</v>
      </c>
      <c r="H203" t="s">
        <v>6</v>
      </c>
    </row>
    <row r="204" spans="1:8">
      <c r="A204" t="s">
        <v>151</v>
      </c>
      <c r="B204">
        <v>2006</v>
      </c>
      <c r="C204" s="3">
        <v>6610</v>
      </c>
      <c r="D204" t="s">
        <v>14</v>
      </c>
      <c r="E204" t="s">
        <v>152</v>
      </c>
      <c r="F204" t="s">
        <v>153</v>
      </c>
      <c r="G204" t="s">
        <v>123</v>
      </c>
      <c r="H204" t="s">
        <v>6</v>
      </c>
    </row>
    <row r="205" spans="1:8">
      <c r="A205" t="s">
        <v>35</v>
      </c>
      <c r="B205">
        <v>2007</v>
      </c>
      <c r="C205" s="3">
        <v>4284</v>
      </c>
      <c r="D205" t="s">
        <v>36</v>
      </c>
      <c r="E205" t="s">
        <v>152</v>
      </c>
      <c r="F205" t="s">
        <v>642</v>
      </c>
      <c r="G205" t="s">
        <v>123</v>
      </c>
      <c r="H205" t="s">
        <v>6</v>
      </c>
    </row>
    <row r="206" spans="1:8">
      <c r="A206" t="s">
        <v>165</v>
      </c>
      <c r="B206">
        <v>2008</v>
      </c>
      <c r="C206" s="3">
        <v>1379</v>
      </c>
      <c r="D206" t="s">
        <v>14</v>
      </c>
      <c r="E206" t="s">
        <v>166</v>
      </c>
      <c r="F206" t="s">
        <v>167</v>
      </c>
      <c r="G206" t="s">
        <v>61</v>
      </c>
      <c r="H206" t="s">
        <v>6</v>
      </c>
    </row>
    <row r="207" spans="1:8">
      <c r="A207" t="s">
        <v>435</v>
      </c>
      <c r="B207">
        <v>2008</v>
      </c>
      <c r="C207" s="3">
        <v>1438</v>
      </c>
      <c r="D207" t="s">
        <v>19</v>
      </c>
      <c r="E207" t="s">
        <v>436</v>
      </c>
      <c r="F207" t="s">
        <v>437</v>
      </c>
      <c r="G207" t="s">
        <v>194</v>
      </c>
      <c r="H207" t="s">
        <v>6</v>
      </c>
    </row>
    <row r="208" spans="1:8">
      <c r="A208" t="s">
        <v>42</v>
      </c>
      <c r="B208">
        <v>2008</v>
      </c>
      <c r="C208" s="3">
        <v>2636</v>
      </c>
      <c r="D208" t="s">
        <v>38</v>
      </c>
      <c r="E208" t="s">
        <v>311</v>
      </c>
      <c r="F208" t="s">
        <v>312</v>
      </c>
      <c r="G208" t="s">
        <v>61</v>
      </c>
      <c r="H208" t="s">
        <v>6</v>
      </c>
    </row>
    <row r="209" spans="1:8" ht="41.65">
      <c r="A209" t="s">
        <v>369</v>
      </c>
      <c r="B209">
        <v>2011</v>
      </c>
      <c r="C209" s="3">
        <v>999</v>
      </c>
      <c r="D209" t="s">
        <v>354</v>
      </c>
      <c r="E209" t="s">
        <v>370</v>
      </c>
      <c r="F209" s="14" t="s">
        <v>690</v>
      </c>
      <c r="G209" t="s">
        <v>69</v>
      </c>
      <c r="H209" t="s">
        <v>6</v>
      </c>
    </row>
    <row r="210" spans="1:8">
      <c r="C210" s="3"/>
      <c r="F210" s="14"/>
    </row>
    <row r="212" spans="1:8">
      <c r="A212" t="s">
        <v>635</v>
      </c>
      <c r="C212" s="3">
        <v>999</v>
      </c>
    </row>
    <row r="213" spans="1:8">
      <c r="A213" t="s">
        <v>689</v>
      </c>
      <c r="C213" s="3">
        <v>6610</v>
      </c>
    </row>
    <row r="214" spans="1:8">
      <c r="A214" t="s">
        <v>35</v>
      </c>
      <c r="C214" s="3">
        <v>4284</v>
      </c>
    </row>
    <row r="215" spans="1:8">
      <c r="A215" t="s">
        <v>42</v>
      </c>
      <c r="C215" s="3">
        <v>2636</v>
      </c>
    </row>
    <row r="216" spans="1:8">
      <c r="A216" t="s">
        <v>691</v>
      </c>
      <c r="C216" s="3">
        <v>4380</v>
      </c>
    </row>
    <row r="217" spans="1:8">
      <c r="A217" t="s">
        <v>618</v>
      </c>
      <c r="C217">
        <v>62</v>
      </c>
    </row>
    <row r="218" spans="1:8" s="5" customFormat="1">
      <c r="A218" s="5" t="s">
        <v>692</v>
      </c>
      <c r="B218" s="5">
        <v>2008</v>
      </c>
      <c r="C218" s="11">
        <v>1438</v>
      </c>
      <c r="D218" s="5" t="s">
        <v>731</v>
      </c>
    </row>
    <row r="219" spans="1:8" s="5" customFormat="1">
      <c r="A219" s="5" t="s">
        <v>693</v>
      </c>
      <c r="B219" s="5">
        <v>2008</v>
      </c>
      <c r="C219" s="11">
        <v>1379</v>
      </c>
      <c r="D219" s="5" t="s">
        <v>732</v>
      </c>
    </row>
    <row r="220" spans="1:8" s="5" customFormat="1">
      <c r="A220" s="5" t="s">
        <v>251</v>
      </c>
      <c r="B220" s="5">
        <v>2003</v>
      </c>
      <c r="C220" s="11">
        <v>1721</v>
      </c>
      <c r="D220" s="5" t="s">
        <v>735</v>
      </c>
    </row>
    <row r="221" spans="1:8" s="5" customFormat="1">
      <c r="A221" s="5" t="s">
        <v>733</v>
      </c>
      <c r="B221" s="5">
        <v>1990</v>
      </c>
      <c r="C221" s="11">
        <v>8468</v>
      </c>
      <c r="D221" s="5" t="s">
        <v>734</v>
      </c>
    </row>
    <row r="222" spans="1:8" s="5" customFormat="1">
      <c r="A222" s="5" t="s">
        <v>684</v>
      </c>
      <c r="B222" s="5">
        <v>1988</v>
      </c>
      <c r="C222" s="11">
        <v>1964</v>
      </c>
      <c r="D222" s="5" t="s">
        <v>736</v>
      </c>
      <c r="E222" s="5" t="s">
        <v>565</v>
      </c>
    </row>
    <row r="223" spans="1:8">
      <c r="C223">
        <f>SUM(C212:C222)</f>
        <v>33941</v>
      </c>
    </row>
    <row r="224" spans="1:8">
      <c r="A224" s="5" t="s">
        <v>694</v>
      </c>
    </row>
    <row r="225" spans="1:10">
      <c r="A225" t="s">
        <v>695</v>
      </c>
      <c r="B225">
        <v>1959</v>
      </c>
      <c r="C225" s="3">
        <v>1936</v>
      </c>
      <c r="D225" t="s">
        <v>696</v>
      </c>
      <c r="E225" t="s">
        <v>697</v>
      </c>
      <c r="F225" t="s">
        <v>698</v>
      </c>
    </row>
    <row r="226" spans="1:10">
      <c r="A226" t="s">
        <v>699</v>
      </c>
      <c r="B226">
        <v>1962</v>
      </c>
      <c r="C226" s="3">
        <v>635</v>
      </c>
      <c r="D226" t="s">
        <v>696</v>
      </c>
      <c r="E226" t="s">
        <v>697</v>
      </c>
      <c r="F226" t="s">
        <v>698</v>
      </c>
    </row>
    <row r="227" spans="1:10">
      <c r="C227">
        <f>SUM(C225:C226)</f>
        <v>2571</v>
      </c>
    </row>
    <row r="230" spans="1:10">
      <c r="A230" t="s">
        <v>700</v>
      </c>
    </row>
    <row r="231" spans="1:10">
      <c r="A231" t="s">
        <v>56</v>
      </c>
      <c r="B231">
        <v>2011</v>
      </c>
      <c r="C231" s="3">
        <v>2998</v>
      </c>
      <c r="D231" t="s">
        <v>14</v>
      </c>
      <c r="E231" t="s">
        <v>173</v>
      </c>
      <c r="F231" t="s">
        <v>174</v>
      </c>
      <c r="G231" t="s">
        <v>123</v>
      </c>
      <c r="H231" t="s">
        <v>6</v>
      </c>
    </row>
    <row r="232" spans="1:10">
      <c r="A232" t="s">
        <v>524</v>
      </c>
      <c r="B232">
        <v>2015</v>
      </c>
      <c r="C232" s="3">
        <v>5</v>
      </c>
      <c r="D232" t="s">
        <v>525</v>
      </c>
      <c r="E232" t="s">
        <v>526</v>
      </c>
      <c r="F232" t="s">
        <v>527</v>
      </c>
      <c r="G232" t="s">
        <v>123</v>
      </c>
      <c r="H232" t="s">
        <v>6</v>
      </c>
    </row>
    <row r="233" spans="1:10" s="5" customFormat="1">
      <c r="A233" s="5" t="s">
        <v>296</v>
      </c>
      <c r="B233" s="5">
        <v>2023</v>
      </c>
      <c r="C233" s="11">
        <v>2</v>
      </c>
      <c r="D233" s="5" t="s">
        <v>24</v>
      </c>
      <c r="E233" s="5" t="s">
        <v>297</v>
      </c>
      <c r="F233" s="5" t="s">
        <v>298</v>
      </c>
      <c r="G233" s="5" t="s">
        <v>123</v>
      </c>
      <c r="H233" s="5" t="s">
        <v>6</v>
      </c>
      <c r="J233" s="5" t="s">
        <v>562</v>
      </c>
    </row>
    <row r="234" spans="1:10">
      <c r="A234" t="s">
        <v>737</v>
      </c>
      <c r="C234">
        <v>49</v>
      </c>
    </row>
    <row r="235" spans="1:10">
      <c r="C235">
        <f>SUM(C231:C234)</f>
        <v>3054</v>
      </c>
    </row>
    <row r="237" spans="1:10">
      <c r="A237" t="s">
        <v>701</v>
      </c>
    </row>
    <row r="238" spans="1:10">
      <c r="A238" t="s">
        <v>703</v>
      </c>
    </row>
    <row r="239" spans="1:10">
      <c r="A239" t="s">
        <v>702</v>
      </c>
    </row>
    <row r="241" spans="1:10">
      <c r="A241" t="s">
        <v>704</v>
      </c>
    </row>
    <row r="242" spans="1:10">
      <c r="A242" t="s">
        <v>27</v>
      </c>
      <c r="B242">
        <v>1990</v>
      </c>
      <c r="C242" s="3">
        <v>8468</v>
      </c>
      <c r="D242" t="s">
        <v>19</v>
      </c>
      <c r="E242" t="s">
        <v>432</v>
      </c>
      <c r="F242" t="s">
        <v>433</v>
      </c>
      <c r="G242" t="s">
        <v>123</v>
      </c>
      <c r="H242" t="s">
        <v>6</v>
      </c>
    </row>
    <row r="243" spans="1:10">
      <c r="A243" t="s">
        <v>705</v>
      </c>
      <c r="B243">
        <v>2016</v>
      </c>
      <c r="C243" s="3">
        <v>114</v>
      </c>
      <c r="D243" t="s">
        <v>706</v>
      </c>
      <c r="E243" t="s">
        <v>707</v>
      </c>
      <c r="F243" t="s">
        <v>708</v>
      </c>
      <c r="G243" t="s">
        <v>123</v>
      </c>
      <c r="H243" t="s">
        <v>6</v>
      </c>
    </row>
    <row r="244" spans="1:10">
      <c r="C244">
        <f>SUM(C242:C243)</f>
        <v>8582</v>
      </c>
    </row>
    <row r="246" spans="1:10">
      <c r="A246" t="s">
        <v>709</v>
      </c>
    </row>
    <row r="247" spans="1:10">
      <c r="A247" t="s">
        <v>710</v>
      </c>
      <c r="C247">
        <v>885</v>
      </c>
    </row>
    <row r="248" spans="1:10">
      <c r="A248" t="s">
        <v>111</v>
      </c>
      <c r="C248">
        <v>922</v>
      </c>
    </row>
    <row r="249" spans="1:10">
      <c r="C249">
        <f>SUM(C247:C248)</f>
        <v>1807</v>
      </c>
    </row>
    <row r="251" spans="1:10">
      <c r="A251" t="s">
        <v>711</v>
      </c>
    </row>
    <row r="252" spans="1:10">
      <c r="A252" t="s">
        <v>32</v>
      </c>
    </row>
    <row r="254" spans="1:10">
      <c r="A254" t="s">
        <v>32</v>
      </c>
      <c r="B254">
        <v>1986</v>
      </c>
      <c r="C254" s="3">
        <v>8056</v>
      </c>
      <c r="D254" t="s">
        <v>21</v>
      </c>
      <c r="E254" t="s">
        <v>491</v>
      </c>
      <c r="F254" t="s">
        <v>492</v>
      </c>
      <c r="G254" t="s">
        <v>61</v>
      </c>
      <c r="H254" t="s">
        <v>6</v>
      </c>
    </row>
    <row r="255" spans="1:10">
      <c r="A255" s="5" t="s">
        <v>39</v>
      </c>
      <c r="B255">
        <v>1988</v>
      </c>
      <c r="C255" s="3">
        <v>3649</v>
      </c>
      <c r="D255" t="s">
        <v>14</v>
      </c>
      <c r="E255" t="s">
        <v>100</v>
      </c>
      <c r="F255" t="s">
        <v>101</v>
      </c>
      <c r="G255" t="s">
        <v>61</v>
      </c>
      <c r="H255" t="s">
        <v>6</v>
      </c>
      <c r="J255" t="s">
        <v>738</v>
      </c>
    </row>
    <row r="256" spans="1:10">
      <c r="C256">
        <f>SUM(C254:C255)</f>
        <v>11705</v>
      </c>
    </row>
    <row r="259" spans="1:1">
      <c r="A259" s="1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Fig1ab</vt:lpstr>
      <vt:lpstr>Fig2tkde</vt:lpstr>
      <vt:lpstr>Fig3tkde</vt:lpstr>
      <vt:lpstr>table4</vt:lpstr>
      <vt:lpstr>TABLE5</vt:lpstr>
      <vt:lpstr>table6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张林</dc:creator>
  <cp:lastModifiedBy>林 张</cp:lastModifiedBy>
  <dcterms:created xsi:type="dcterms:W3CDTF">2015-06-05T18:19:34Z</dcterms:created>
  <dcterms:modified xsi:type="dcterms:W3CDTF">2024-03-25T04:00:00Z</dcterms:modified>
</cp:coreProperties>
</file>